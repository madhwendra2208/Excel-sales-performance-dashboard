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https://d.docs.live.net/bb3e86b6ab9bb75e/Desktop/My_Projects/EXCEL PROJECT S/"/>
    </mc:Choice>
  </mc:AlternateContent>
  <xr:revisionPtr revIDLastSave="1964" documentId="14_{BE102A44-BB7C-46A8-87A9-A662A338DC17}" xr6:coauthVersionLast="47" xr6:coauthVersionMax="47" xr10:uidLastSave="{867F8789-191C-40EB-8D8D-F07CB10CDBDC}"/>
  <bookViews>
    <workbookView xWindow="-108" yWindow="-108" windowWidth="23256" windowHeight="12456" activeTab="2" xr2:uid="{00000000-000D-0000-FFFF-FFFF00000000}"/>
  </bookViews>
  <sheets>
    <sheet name="Sheet1" sheetId="1" r:id="rId1"/>
    <sheet name="KPI" sheetId="2" r:id="rId2"/>
    <sheet name="Dashboard" sheetId="3" r:id="rId3"/>
  </sheets>
  <definedNames>
    <definedName name="_xlchart.v5.0" hidden="1">KPI!$L$19</definedName>
    <definedName name="_xlchart.v5.1" hidden="1">KPI!$L$20:$L$35</definedName>
    <definedName name="_xlchart.v5.2" hidden="1">KPI!$M$19</definedName>
    <definedName name="_xlchart.v5.3" hidden="1">KPI!$M$20:$M$35</definedName>
    <definedName name="_xlcn.WorksheetConnection_Sheet1A1K5011" hidden="1">Sheet1!$A$1:$K$501</definedName>
    <definedName name="NativeTimeline_OrderDate">#N/A</definedName>
    <definedName name="Slicer_Category">#N/A</definedName>
    <definedName name="Slicer_Product">#N/A</definedName>
    <definedName name="Slicer_Salesperson">#N/A</definedName>
  </definedNames>
  <calcPr calcId="191029"/>
  <pivotCaches>
    <pivotCache cacheId="0" r:id="rId4"/>
    <pivotCache cacheId="1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FCE2AD5D-F65C-4FA6-A056-5C36A1767C68}">
      <x15:dataModel>
        <x15:modelTables>
          <x15:modelTable id="Range" name="Range" connection="WorksheetConnection_Sheet1!$A$1:$K$5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4" i="2" l="1"/>
  <c r="A1" i="2"/>
  <c r="M33" i="2"/>
  <c r="M35" i="2"/>
  <c r="M30" i="2"/>
  <c r="M21" i="2"/>
  <c r="G14" i="2"/>
  <c r="M22" i="2"/>
  <c r="G13" i="2"/>
  <c r="G17" i="2"/>
  <c r="M26" i="2"/>
  <c r="M20" i="2"/>
  <c r="M31" i="2"/>
  <c r="M25" i="2"/>
  <c r="M28" i="2"/>
  <c r="M29" i="2"/>
  <c r="M23" i="2"/>
  <c r="M24" i="2"/>
  <c r="M32" i="2"/>
  <c r="C1" i="2"/>
  <c r="G15" i="2"/>
  <c r="G12" i="2"/>
  <c r="M27" i="2"/>
  <c r="G1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A9C5AD-856E-4809-8910-FB4F6B68145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B71BB7D-F9FB-439C-8CD0-D0F326606587}" name="WorksheetConnection_Sheet1!$A$1:$K$501" type="102" refreshedVersion="8" minRefreshableVersion="5">
    <extLst>
      <ext xmlns:x15="http://schemas.microsoft.com/office/spreadsheetml/2010/11/main" uri="{DE250136-89BD-433C-8126-D09CA5730AF9}">
        <x15:connection id="Range" autoDelete="1">
          <x15:rangePr sourceName="_xlcn.WorksheetConnection_Sheet1A1K5011"/>
        </x15:connection>
      </ext>
    </extLst>
  </connection>
</connections>
</file>

<file path=xl/sharedStrings.xml><?xml version="1.0" encoding="utf-8"?>
<sst xmlns="http://schemas.openxmlformats.org/spreadsheetml/2006/main" count="3094" uniqueCount="79">
  <si>
    <t>OrderID</t>
  </si>
  <si>
    <t>Product</t>
  </si>
  <si>
    <t>Category</t>
  </si>
  <si>
    <t>Region</t>
  </si>
  <si>
    <t>Salesperson</t>
  </si>
  <si>
    <t>Customer</t>
  </si>
  <si>
    <t>OrderDate</t>
  </si>
  <si>
    <t>Month</t>
  </si>
  <si>
    <t>UnitsSold</t>
  </si>
  <si>
    <t>UnitPrice</t>
  </si>
  <si>
    <t>TotalSales</t>
  </si>
  <si>
    <t>Mobile</t>
  </si>
  <si>
    <t>Tablet</t>
  </si>
  <si>
    <t>Smartwatch</t>
  </si>
  <si>
    <t>Laptop</t>
  </si>
  <si>
    <t>Headphones</t>
  </si>
  <si>
    <t>Accessories</t>
  </si>
  <si>
    <t>Wearables</t>
  </si>
  <si>
    <t>Electronics</t>
  </si>
  <si>
    <t>Maharashtra</t>
  </si>
  <si>
    <t>Bihar</t>
  </si>
  <si>
    <t>Tamil Nadu</t>
  </si>
  <si>
    <t>Punjab</t>
  </si>
  <si>
    <t>Assam</t>
  </si>
  <si>
    <t>Karnataka</t>
  </si>
  <si>
    <t>Uttar Pradesh</t>
  </si>
  <si>
    <t>Haryana</t>
  </si>
  <si>
    <t>Andhra Pradesh</t>
  </si>
  <si>
    <t>Kerala</t>
  </si>
  <si>
    <t>Rajasthan</t>
  </si>
  <si>
    <t>Odisha</t>
  </si>
  <si>
    <t>Gujarat</t>
  </si>
  <si>
    <t>Goa</t>
  </si>
  <si>
    <t>West Bengal</t>
  </si>
  <si>
    <t>Delhi</t>
  </si>
  <si>
    <t>Suresh</t>
  </si>
  <si>
    <t>Amit</t>
  </si>
  <si>
    <t>Priya</t>
  </si>
  <si>
    <t>Ravi</t>
  </si>
  <si>
    <t>Neha</t>
  </si>
  <si>
    <t>Anita</t>
  </si>
  <si>
    <t>Customer_12</t>
  </si>
  <si>
    <t>Customer_13</t>
  </si>
  <si>
    <t>Customer_20</t>
  </si>
  <si>
    <t>Customer_17</t>
  </si>
  <si>
    <t>Customer_18</t>
  </si>
  <si>
    <t>Customer_1</t>
  </si>
  <si>
    <t>Customer_4</t>
  </si>
  <si>
    <t>Customer_7</t>
  </si>
  <si>
    <t>Customer_14</t>
  </si>
  <si>
    <t>Customer_3</t>
  </si>
  <si>
    <t>Customer_16</t>
  </si>
  <si>
    <t>Customer_15</t>
  </si>
  <si>
    <t>Customer_6</t>
  </si>
  <si>
    <t>Customer_8</t>
  </si>
  <si>
    <t>Customer_9</t>
  </si>
  <si>
    <t>Customer_2</t>
  </si>
  <si>
    <t>Customer_10</t>
  </si>
  <si>
    <t>Customer_11</t>
  </si>
  <si>
    <t>Customer_19</t>
  </si>
  <si>
    <t>Customer_5</t>
  </si>
  <si>
    <t>May</t>
  </si>
  <si>
    <t>November</t>
  </si>
  <si>
    <t>October</t>
  </si>
  <si>
    <t>July</t>
  </si>
  <si>
    <t>March</t>
  </si>
  <si>
    <t>September</t>
  </si>
  <si>
    <t>April</t>
  </si>
  <si>
    <t>January</t>
  </si>
  <si>
    <t>December</t>
  </si>
  <si>
    <t>February</t>
  </si>
  <si>
    <t>June</t>
  </si>
  <si>
    <t>August</t>
  </si>
  <si>
    <t>Row Labels</t>
  </si>
  <si>
    <t>Grand Total</t>
  </si>
  <si>
    <t>Sum of TotalSales</t>
  </si>
  <si>
    <t>Sum of UnitsSold</t>
  </si>
  <si>
    <t>Count of Customer2</t>
  </si>
  <si>
    <t>Distinct Count of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</si>
</sst>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6">
    <fill>
      <patternFill patternType="none"/>
    </fill>
    <fill>
      <patternFill patternType="gray125"/>
    </fill>
    <fill>
      <patternFill patternType="solid">
        <fgColor theme="8" tint="0.79998168889431442"/>
        <bgColor indexed="64"/>
      </patternFill>
    </fill>
    <fill>
      <patternFill patternType="solid">
        <fgColor theme="4" tint="0.79998168889431442"/>
        <bgColor theme="4" tint="0.79998168889431442"/>
      </patternFill>
    </fill>
    <fill>
      <patternFill patternType="solid">
        <fgColor theme="7" tint="-0.249977111117893"/>
        <bgColor indexed="64"/>
      </patternFill>
    </fill>
    <fill>
      <patternFill patternType="solid">
        <fgColor theme="4" tint="-0.499984740745262"/>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2">
    <xf numFmtId="0" fontId="0" fillId="0" borderId="0" xfId="0"/>
    <xf numFmtId="0" fontId="0" fillId="0" borderId="1" xfId="0" applyBorder="1"/>
    <xf numFmtId="164" fontId="0" fillId="0" borderId="1" xfId="0" applyNumberFormat="1" applyBorder="1"/>
    <xf numFmtId="0" fontId="2" fillId="2" borderId="1" xfId="0" applyFont="1" applyFill="1" applyBorder="1" applyAlignment="1">
      <alignment horizontal="center" vertical="top"/>
    </xf>
    <xf numFmtId="0" fontId="0" fillId="0" borderId="0" xfId="0" pivotButton="1"/>
    <xf numFmtId="0" fontId="0" fillId="0" borderId="0" xfId="0" applyAlignment="1">
      <alignment horizontal="left"/>
    </xf>
    <xf numFmtId="0" fontId="1" fillId="3" borderId="2" xfId="0" applyFont="1" applyFill="1" applyBorder="1"/>
    <xf numFmtId="0" fontId="1" fillId="3" borderId="3" xfId="0" applyFont="1" applyFill="1" applyBorder="1" applyAlignment="1">
      <alignment horizontal="left"/>
    </xf>
    <xf numFmtId="0" fontId="1" fillId="3" borderId="3" xfId="0" applyFont="1" applyFill="1" applyBorder="1"/>
    <xf numFmtId="0" fontId="0" fillId="4" borderId="0" xfId="0" applyFill="1"/>
    <xf numFmtId="0" fontId="0" fillId="5" borderId="0" xfId="0" applyFill="1"/>
    <xf numFmtId="0" fontId="0" fillId="0" borderId="0" xfId="0" applyNumberFormat="1"/>
  </cellXfs>
  <cellStyles count="1">
    <cellStyle name="Normal" xfId="0" builtinId="0"/>
  </cellStyles>
  <dxfs count="9">
    <dxf>
      <font>
        <b/>
        <sz val="11"/>
        <color theme="1"/>
      </font>
      <border>
        <vertical/>
        <horizontal/>
      </border>
    </dxf>
    <dxf>
      <font>
        <b val="0"/>
        <i val="0"/>
        <sz val="11"/>
        <color theme="1"/>
        <name val="Agency FB"/>
        <family val="2"/>
        <scheme val="none"/>
      </font>
      <fill>
        <patternFill patternType="solid">
          <bgColor rgb="FFFF9933"/>
        </patternFill>
      </fill>
      <border diagonalUp="0" diagonalDown="0">
        <left/>
        <right/>
        <top/>
        <bottom/>
        <vertical/>
        <horizontal/>
      </border>
    </dxf>
    <dxf>
      <font>
        <b/>
        <color theme="1"/>
      </font>
      <border>
        <bottom style="thin">
          <color theme="8"/>
        </bottom>
        <vertical/>
        <horizontal/>
      </border>
    </dxf>
    <dxf>
      <font>
        <sz val="8"/>
        <color theme="1"/>
      </font>
      <fill>
        <patternFill patternType="none">
          <fgColor auto="1"/>
          <bgColor auto="1"/>
        </patternFill>
      </fill>
      <border diagonalUp="0" diagonalDown="0">
        <left/>
        <right/>
        <top/>
        <bottom/>
        <vertical/>
        <horizontal/>
      </border>
    </dxf>
    <dxf>
      <font>
        <b/>
        <color theme="1"/>
      </font>
      <border>
        <bottom style="thin">
          <color theme="9"/>
        </bottom>
        <vertical/>
        <horizontal/>
      </border>
    </dxf>
    <dxf>
      <font>
        <sz val="8"/>
        <color theme="1"/>
      </font>
      <fill>
        <patternFill patternType="none">
          <bgColor auto="1"/>
        </patternFill>
      </fill>
      <border diagonalUp="0" diagonalDown="0">
        <left/>
        <right/>
        <top/>
        <bottom/>
        <vertical/>
        <horizontal/>
      </border>
    </dxf>
    <dxf>
      <fill>
        <patternFill patternType="none">
          <bgColor auto="1"/>
        </patternFill>
      </fill>
      <border diagonalUp="0" diagonalDown="0">
        <left/>
        <right/>
        <top/>
        <bottom/>
        <vertical/>
        <horizontal/>
      </border>
    </dxf>
    <dxf>
      <font>
        <b/>
        <color theme="1"/>
      </font>
      <border>
        <bottom style="thin">
          <color theme="9"/>
        </bottom>
        <vertical/>
        <horizontal/>
      </border>
    </dxf>
    <dxf>
      <font>
        <color theme="1"/>
        <name val="Arial"/>
        <family val="2"/>
        <scheme val="none"/>
      </font>
      <fill>
        <patternFill patternType="solid">
          <bgColor rgb="FF00B0F0"/>
        </patternFill>
      </fill>
      <border diagonalUp="0" diagonalDown="0">
        <left/>
        <right/>
        <top/>
        <bottom/>
        <vertical/>
        <horizontal/>
      </border>
    </dxf>
  </dxfs>
  <tableStyles count="5" defaultTableStyle="TableStyleMedium9" defaultPivotStyle="PivotStyleLight16">
    <tableStyle name="mystyle" pivot="0" table="0" count="10" xr9:uid="{68508CFE-B499-471D-907E-B4A055C24278}">
      <tableStyleElement type="wholeTable" dxfId="8"/>
      <tableStyleElement type="headerRow" dxfId="7"/>
    </tableStyle>
    <tableStyle name="Slicer Style 1" pivot="0" table="0" count="1" xr9:uid="{795322EE-7B03-4145-8121-F6E9FECB0DB7}">
      <tableStyleElement type="wholeTable" dxfId="6"/>
    </tableStyle>
    <tableStyle name="SlicerStyleDark6 2" pivot="0" table="0" count="10" xr9:uid="{047CEC74-BAE9-4F57-92B4-7C735392189C}">
      <tableStyleElement type="wholeTable" dxfId="5"/>
      <tableStyleElement type="headerRow" dxfId="4"/>
    </tableStyle>
    <tableStyle name="SlicerStyleLight5 2" pivot="0" table="0" count="10" xr9:uid="{3585A245-23C7-4559-9595-7C2F8032E2BE}">
      <tableStyleElement type="wholeTable" dxfId="3"/>
      <tableStyleElement type="headerRow" dxfId="2"/>
    </tableStyle>
    <tableStyle name="TimeSlicerStyleLight5 2" pivot="0" table="0" count="9" xr9:uid="{66D15AA3-5344-4F61-89E9-D49CBA9C33AB}">
      <tableStyleElement type="wholeTable" dxfId="1"/>
      <tableStyleElement type="headerRow" dxfId="0"/>
    </tableStyle>
  </tableStyles>
  <colors>
    <mruColors>
      <color rgb="FF10F0E5"/>
      <color rgb="FFFFFFFF"/>
      <color rgb="FF000000"/>
      <color rgb="FFFF9933"/>
      <color rgb="FF60706A"/>
      <color rgb="FFFFCC66"/>
      <color rgb="FF3B8575"/>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 Style 1"/>
        <x14:slicerStyle name="SlicerStyleDark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8" tint="0.39997558519241921"/>
              <bgColor theme="8"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8" tint="0.59999389629810485"/>
              </stop>
              <stop position="1">
                <color theme="8"/>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8"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5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2.xml"/><Relationship Id="rId15" Type="http://schemas.microsoft.com/office/2017/10/relationships/person" Target="persons/person.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Preformance Dashboard.xlsx]KPI!sale-by-product</c:name>
    <c:fmtId val="5"/>
  </c:pivotSource>
  <c:chart>
    <c:autoTitleDeleted val="1"/>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47684501667020401"/>
                  <c:h val="0.18943209536148287"/>
                </c:manualLayout>
              </c15:layout>
            </c:ext>
          </c:extLst>
        </c:dLbl>
      </c:pivotFmt>
      <c:pivotFmt>
        <c:idx val="14"/>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layout>
            <c:manualLayout>
              <c:x val="-1.0194039938161509E-2"/>
              <c:y val="3.9164787409617462E-7"/>
            </c:manualLayout>
          </c:layout>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43051442433404014"/>
                  <c:h val="0.27829144532051653"/>
                </c:manualLayout>
              </c15:layout>
            </c:ext>
          </c:extLst>
        </c:dLbl>
      </c:pivotFmt>
      <c:pivotFmt>
        <c:idx val="15"/>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layout>
            <c:manualLayout>
              <c:x val="6.9548161056344288E-2"/>
              <c:y val="4.451769091566523E-2"/>
            </c:manualLayout>
          </c:layout>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96205353032654206"/>
                  <c:h val="0.31758803285903137"/>
                </c:manualLayout>
              </c15:layout>
            </c:ext>
          </c:extLst>
        </c:dLbl>
      </c:pivotFmt>
      <c:pivotFmt>
        <c:idx val="16"/>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40225857811908466"/>
                  <c:h val="0.18943209536148287"/>
                </c:manualLayout>
              </c15:layout>
            </c:ext>
          </c:extLst>
        </c:dLbl>
      </c:pivotFmt>
      <c:pivotFmt>
        <c:idx val="17"/>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layout>
            <c:manualLayout>
              <c:x val="2.1056311234474132E-2"/>
              <c:y val="0"/>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48567667322834657"/>
                  <c:h val="0.24844809529889392"/>
                </c:manualLayout>
              </c15:layout>
            </c:ext>
          </c:extLst>
        </c:dLbl>
      </c:pivotFmt>
    </c:pivotFmts>
    <c:plotArea>
      <c:layout>
        <c:manualLayout>
          <c:layoutTarget val="inner"/>
          <c:xMode val="edge"/>
          <c:yMode val="edge"/>
          <c:x val="2.8537901272387305E-2"/>
          <c:y val="6.1863297811485633E-3"/>
          <c:w val="1"/>
          <c:h val="0.94078519132390293"/>
        </c:manualLayout>
      </c:layout>
      <c:doughnutChart>
        <c:varyColors val="1"/>
        <c:ser>
          <c:idx val="0"/>
          <c:order val="0"/>
          <c:tx>
            <c:strRef>
              <c:f>KPI!$D$13</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618-42A7-96B9-4FD9E4BCBB6E}"/>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618-42A7-96B9-4FD9E4BCBB6E}"/>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618-42A7-96B9-4FD9E4BCBB6E}"/>
              </c:ext>
            </c:extLst>
          </c:dPt>
          <c:dPt>
            <c:idx val="3"/>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618-42A7-96B9-4FD9E4BCBB6E}"/>
              </c:ext>
            </c:extLst>
          </c:dPt>
          <c:dPt>
            <c:idx val="4"/>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D618-42A7-96B9-4FD9E4BCBB6E}"/>
              </c:ext>
            </c:extLst>
          </c:dPt>
          <c:dLbls>
            <c:dLbl>
              <c:idx val="0"/>
              <c:layout>
                <c:manualLayout>
                  <c:x val="-1.0194039938161509E-2"/>
                  <c:y val="3.9164787409617462E-7"/>
                </c:manualLayout>
              </c:layout>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43051442433404014"/>
                      <c:h val="0.27829144532051653"/>
                    </c:manualLayout>
                  </c15:layout>
                </c:ext>
                <c:ext xmlns:c16="http://schemas.microsoft.com/office/drawing/2014/chart" uri="{C3380CC4-5D6E-409C-BE32-E72D297353CC}">
                  <c16:uniqueId val="{00000001-D618-42A7-96B9-4FD9E4BCBB6E}"/>
                </c:ext>
              </c:extLst>
            </c:dLbl>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KPI!$C$14:$C$15</c:f>
              <c:strCache>
                <c:ptCount val="1"/>
                <c:pt idx="0">
                  <c:v>Laptop</c:v>
                </c:pt>
              </c:strCache>
            </c:strRef>
          </c:cat>
          <c:val>
            <c:numRef>
              <c:f>KPI!$D$14:$D$15</c:f>
              <c:numCache>
                <c:formatCode>General</c:formatCode>
                <c:ptCount val="1"/>
                <c:pt idx="0">
                  <c:v>8560156</c:v>
                </c:pt>
              </c:numCache>
            </c:numRef>
          </c:val>
          <c:extLst>
            <c:ext xmlns:c16="http://schemas.microsoft.com/office/drawing/2014/chart" uri="{C3380CC4-5D6E-409C-BE32-E72D297353CC}">
              <c16:uniqueId val="{0000000A-D618-42A7-96B9-4FD9E4BCBB6E}"/>
            </c:ext>
          </c:extLst>
        </c:ser>
        <c:dLbls>
          <c:showLegendKey val="0"/>
          <c:showVal val="0"/>
          <c:showCatName val="0"/>
          <c:showSerName val="0"/>
          <c:showPercent val="1"/>
          <c:showBubbleSize val="0"/>
          <c:showLeaderLines val="0"/>
        </c:dLbls>
        <c:firstSliceAng val="0"/>
        <c:holeSize val="2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Sales Preformance Dashboard.xlsx]KPI!PivotTable7</c:name>
    <c:fmtId val="32"/>
  </c:pivotSource>
  <c:chart>
    <c:autoTitleDeleted val="1"/>
    <c:pivotFmts>
      <c:pivotFmt>
        <c:idx val="0"/>
        <c:spPr>
          <a:gradFill rotWithShape="1">
            <a:gsLst>
              <a:gs pos="73828">
                <a:srgbClr val="FCFE02"/>
              </a:gs>
              <a:gs pos="72656">
                <a:srgbClr val="F8FD03"/>
              </a:gs>
              <a:gs pos="81000">
                <a:srgbClr val="F0FB05"/>
              </a:gs>
              <a:gs pos="65625">
                <a:srgbClr val="E0F60A"/>
              </a:gs>
              <a:gs pos="56250">
                <a:srgbClr val="C0EC14"/>
              </a:gs>
              <a:gs pos="37500">
                <a:srgbClr val="80D828"/>
              </a:gs>
              <a:gs pos="91000">
                <a:srgbClr val="FFFF00"/>
              </a:gs>
              <a:gs pos="0">
                <a:srgbClr val="00B050">
                  <a:alpha val="64000"/>
                </a:srgbClr>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73828">
                <a:srgbClr val="FCFE02"/>
              </a:gs>
              <a:gs pos="72656">
                <a:srgbClr val="F8FD03"/>
              </a:gs>
              <a:gs pos="81000">
                <a:srgbClr val="F0FB05"/>
              </a:gs>
              <a:gs pos="65625">
                <a:srgbClr val="E0F60A"/>
              </a:gs>
              <a:gs pos="56250">
                <a:srgbClr val="C0EC14"/>
              </a:gs>
              <a:gs pos="37500">
                <a:srgbClr val="80D828"/>
              </a:gs>
              <a:gs pos="91000">
                <a:srgbClr val="FFFF00"/>
              </a:gs>
              <a:gs pos="0">
                <a:srgbClr val="00B050">
                  <a:alpha val="64000"/>
                </a:srgbClr>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73828">
                <a:srgbClr val="FCFE02"/>
              </a:gs>
              <a:gs pos="72656">
                <a:srgbClr val="F8FD03"/>
              </a:gs>
              <a:gs pos="81000">
                <a:srgbClr val="F0FB05"/>
              </a:gs>
              <a:gs pos="65625">
                <a:srgbClr val="E0F60A"/>
              </a:gs>
              <a:gs pos="56250">
                <a:srgbClr val="C0EC14"/>
              </a:gs>
              <a:gs pos="37500">
                <a:srgbClr val="80D828"/>
              </a:gs>
              <a:gs pos="91000">
                <a:srgbClr val="FFFF00"/>
              </a:gs>
              <a:gs pos="0">
                <a:srgbClr val="00B050">
                  <a:alpha val="64000"/>
                </a:srgbClr>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83828696009456E-2"/>
          <c:y val="0.13241123392861096"/>
          <c:w val="0.91421688494965148"/>
          <c:h val="0.49056445671446036"/>
        </c:manualLayout>
      </c:layout>
      <c:barChart>
        <c:barDir val="col"/>
        <c:grouping val="stacked"/>
        <c:varyColors val="0"/>
        <c:ser>
          <c:idx val="0"/>
          <c:order val="0"/>
          <c:tx>
            <c:strRef>
              <c:f>KPI!$M$2</c:f>
              <c:strCache>
                <c:ptCount val="1"/>
                <c:pt idx="0">
                  <c:v>Total</c:v>
                </c:pt>
              </c:strCache>
            </c:strRef>
          </c:tx>
          <c:spPr>
            <a:gradFill rotWithShape="1">
              <a:gsLst>
                <a:gs pos="73828">
                  <a:srgbClr val="FCFE02"/>
                </a:gs>
                <a:gs pos="72656">
                  <a:srgbClr val="F8FD03"/>
                </a:gs>
                <a:gs pos="81000">
                  <a:srgbClr val="F0FB05"/>
                </a:gs>
                <a:gs pos="65625">
                  <a:srgbClr val="E0F60A"/>
                </a:gs>
                <a:gs pos="56250">
                  <a:srgbClr val="C0EC14"/>
                </a:gs>
                <a:gs pos="37500">
                  <a:srgbClr val="80D828"/>
                </a:gs>
                <a:gs pos="91000">
                  <a:srgbClr val="FFFF00"/>
                </a:gs>
                <a:gs pos="0">
                  <a:srgbClr val="00B050">
                    <a:alpha val="64000"/>
                  </a:srgbClr>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KPI!$L$3:$L$12</c:f>
              <c:strCache>
                <c:ptCount val="9"/>
                <c:pt idx="0">
                  <c:v>January</c:v>
                </c:pt>
                <c:pt idx="1">
                  <c:v>March</c:v>
                </c:pt>
                <c:pt idx="2">
                  <c:v>April</c:v>
                </c:pt>
                <c:pt idx="3">
                  <c:v>May</c:v>
                </c:pt>
                <c:pt idx="4">
                  <c:v>June</c:v>
                </c:pt>
                <c:pt idx="5">
                  <c:v>August</c:v>
                </c:pt>
                <c:pt idx="6">
                  <c:v>September</c:v>
                </c:pt>
                <c:pt idx="7">
                  <c:v>October</c:v>
                </c:pt>
                <c:pt idx="8">
                  <c:v>December</c:v>
                </c:pt>
              </c:strCache>
            </c:strRef>
          </c:cat>
          <c:val>
            <c:numRef>
              <c:f>KPI!$M$3:$M$12</c:f>
              <c:numCache>
                <c:formatCode>General</c:formatCode>
                <c:ptCount val="9"/>
                <c:pt idx="0">
                  <c:v>1299420</c:v>
                </c:pt>
                <c:pt idx="1">
                  <c:v>224730</c:v>
                </c:pt>
                <c:pt idx="2">
                  <c:v>1719690</c:v>
                </c:pt>
                <c:pt idx="3">
                  <c:v>611936</c:v>
                </c:pt>
                <c:pt idx="4">
                  <c:v>89172</c:v>
                </c:pt>
                <c:pt idx="5">
                  <c:v>928976</c:v>
                </c:pt>
                <c:pt idx="6">
                  <c:v>60416</c:v>
                </c:pt>
                <c:pt idx="7">
                  <c:v>2299752</c:v>
                </c:pt>
                <c:pt idx="8">
                  <c:v>1326064</c:v>
                </c:pt>
              </c:numCache>
            </c:numRef>
          </c:val>
          <c:extLst>
            <c:ext xmlns:c16="http://schemas.microsoft.com/office/drawing/2014/chart" uri="{C3380CC4-5D6E-409C-BE32-E72D297353CC}">
              <c16:uniqueId val="{00000000-3563-4A9C-97B8-98B4A54BE944}"/>
            </c:ext>
          </c:extLst>
        </c:ser>
        <c:dLbls>
          <c:showLegendKey val="0"/>
          <c:showVal val="0"/>
          <c:showCatName val="0"/>
          <c:showSerName val="0"/>
          <c:showPercent val="0"/>
          <c:showBubbleSize val="0"/>
        </c:dLbls>
        <c:gapWidth val="150"/>
        <c:overlap val="100"/>
        <c:axId val="1589435007"/>
        <c:axId val="1589433087"/>
      </c:barChart>
      <c:catAx>
        <c:axId val="1589435007"/>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89433087"/>
        <c:crosses val="autoZero"/>
        <c:auto val="1"/>
        <c:lblAlgn val="ctr"/>
        <c:lblOffset val="100"/>
        <c:noMultiLvlLbl val="0"/>
      </c:catAx>
      <c:valAx>
        <c:axId val="1589433087"/>
        <c:scaling>
          <c:orientation val="minMax"/>
        </c:scaling>
        <c:delete val="1"/>
        <c:axPos val="l"/>
        <c:numFmt formatCode="General" sourceLinked="1"/>
        <c:majorTickMark val="out"/>
        <c:minorTickMark val="none"/>
        <c:tickLblPos val="nextTo"/>
        <c:crossAx val="158943500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800" b="1" i="0" u="none" strike="noStrike" kern="1200" baseline="0">
                <a:solidFill>
                  <a:schemeClr val="dk1"/>
                </a:solidFill>
                <a:latin typeface="+mn-lt"/>
                <a:ea typeface="+mn-ea"/>
                <a:cs typeface="+mn-cs"/>
              </a:defRPr>
            </a:pPr>
            <a:r>
              <a:rPr lang="en-US" sz="800"/>
              <a:t>product sale by salesperson</a:t>
            </a:r>
          </a:p>
        </c:rich>
      </c:tx>
      <c:layout>
        <c:manualLayout>
          <c:xMode val="edge"/>
          <c:yMode val="edge"/>
          <c:x val="0.28112354987108767"/>
          <c:y val="3.9455789709961109E-2"/>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dk1"/>
              </a:solidFill>
              <a:latin typeface="+mn-lt"/>
              <a:ea typeface="+mn-ea"/>
              <a:cs typeface="+mn-cs"/>
            </a:defRPr>
          </a:pPr>
          <a:endParaRPr lang="en-US"/>
        </a:p>
      </c:txPr>
    </c:title>
    <c:autoTitleDeleted val="0"/>
    <c:plotArea>
      <c:layout>
        <c:manualLayout>
          <c:layoutTarget val="inner"/>
          <c:xMode val="edge"/>
          <c:yMode val="edge"/>
          <c:x val="0.11939475438492002"/>
          <c:y val="0.20482525667622248"/>
          <c:w val="0.81635718862816209"/>
          <c:h val="0.65781888705158853"/>
        </c:manualLayout>
      </c:layout>
      <c:barChart>
        <c:barDir val="bar"/>
        <c:grouping val="clustered"/>
        <c:varyColors val="0"/>
        <c:ser>
          <c:idx val="0"/>
          <c:order val="0"/>
          <c:tx>
            <c:strRef>
              <c:f>KPI!$G$11</c:f>
              <c:strCache>
                <c:ptCount val="1"/>
                <c:pt idx="0">
                  <c:v>Sum of TotalSales</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1"/>
          <c:cat>
            <c:strRef>
              <c:f>KPI!$F$12:$F$17</c:f>
              <c:strCache>
                <c:ptCount val="6"/>
                <c:pt idx="0">
                  <c:v>Amit</c:v>
                </c:pt>
                <c:pt idx="1">
                  <c:v>Anita</c:v>
                </c:pt>
                <c:pt idx="2">
                  <c:v>Neha</c:v>
                </c:pt>
                <c:pt idx="3">
                  <c:v>Priya</c:v>
                </c:pt>
                <c:pt idx="4">
                  <c:v>Ravi</c:v>
                </c:pt>
                <c:pt idx="5">
                  <c:v>Suresh</c:v>
                </c:pt>
              </c:strCache>
            </c:strRef>
          </c:cat>
          <c:val>
            <c:numRef>
              <c:f>KPI!$G$12:$G$17</c:f>
              <c:numCache>
                <c:formatCode>General</c:formatCode>
                <c:ptCount val="6"/>
                <c:pt idx="0">
                  <c:v>0</c:v>
                </c:pt>
                <c:pt idx="1">
                  <c:v>8560156</c:v>
                </c:pt>
                <c:pt idx="2">
                  <c:v>0</c:v>
                </c:pt>
                <c:pt idx="3">
                  <c:v>0</c:v>
                </c:pt>
                <c:pt idx="4">
                  <c:v>0</c:v>
                </c:pt>
                <c:pt idx="5">
                  <c:v>0</c:v>
                </c:pt>
              </c:numCache>
            </c:numRef>
          </c:val>
          <c:extLst>
            <c:ext xmlns:c16="http://schemas.microsoft.com/office/drawing/2014/chart" uri="{C3380CC4-5D6E-409C-BE32-E72D297353CC}">
              <c16:uniqueId val="{00000000-CFA3-4F98-935F-42E61E8A121A}"/>
            </c:ext>
          </c:extLst>
        </c:ser>
        <c:dLbls>
          <c:showLegendKey val="0"/>
          <c:showVal val="0"/>
          <c:showCatName val="0"/>
          <c:showSerName val="0"/>
          <c:showPercent val="0"/>
          <c:showBubbleSize val="0"/>
        </c:dLbls>
        <c:gapWidth val="150"/>
        <c:axId val="1638089791"/>
        <c:axId val="1638092191"/>
      </c:barChart>
      <c:catAx>
        <c:axId val="163808979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dk1"/>
                </a:solidFill>
                <a:latin typeface="+mn-lt"/>
                <a:ea typeface="+mn-ea"/>
                <a:cs typeface="+mn-cs"/>
              </a:defRPr>
            </a:pPr>
            <a:endParaRPr lang="en-US"/>
          </a:p>
        </c:txPr>
        <c:crossAx val="1638092191"/>
        <c:crosses val="autoZero"/>
        <c:auto val="1"/>
        <c:lblAlgn val="ctr"/>
        <c:lblOffset val="100"/>
        <c:noMultiLvlLbl val="0"/>
      </c:catAx>
      <c:valAx>
        <c:axId val="1638092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400" b="0" i="0" u="none" strike="noStrike" kern="1200" baseline="0">
                <a:solidFill>
                  <a:schemeClr val="dk1"/>
                </a:solidFill>
                <a:latin typeface="+mn-lt"/>
                <a:ea typeface="+mn-ea"/>
                <a:cs typeface="+mn-cs"/>
              </a:defRPr>
            </a:pPr>
            <a:endParaRPr lang="en-US"/>
          </a:p>
        </c:txPr>
        <c:crossAx val="1638089791"/>
        <c:crosses val="autoZero"/>
        <c:crossBetween val="between"/>
      </c:valAx>
      <c:spPr>
        <a:noFill/>
        <a:ln>
          <a:noFill/>
        </a:ln>
        <a:effectLst/>
      </c:spPr>
    </c:plotArea>
    <c:plotVisOnly val="1"/>
    <c:dispBlanksAs val="gap"/>
    <c:showDLblsOverMax val="0"/>
  </c:chart>
  <c:spPr>
    <a:noFill/>
    <a:ln w="25400" cap="flat" cmpd="sng" algn="ctr">
      <a:no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1">
      <cx:tx>
        <cx:txData>
          <cx:v>State wise Sale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State wise Sale</a:t>
          </a:r>
        </a:p>
      </cx:txPr>
    </cx:title>
    <cx:plotArea>
      <cx:plotAreaRegion>
        <cx:plotSurface>
          <cx:spPr>
            <a:solidFill>
              <a:schemeClr val="lt1"/>
            </a:solidFill>
            <a:ln w="25400" cap="flat" cmpd="sng" algn="ctr">
              <a:noFill/>
              <a:prstDash val="solid"/>
            </a:ln>
            <a:effectLst/>
          </cx:spPr>
        </cx:plotSurface>
        <cx:series layoutId="regionMap" uniqueId="{DC9D1287-998B-4AAA-A8DE-43F867F4084C}">
          <cx:dataId val="0"/>
          <cx:layoutPr>
            <cx:regionLabelLayout val="showAll"/>
            <cx:geography cultureLanguage="en-US" cultureRegion="IN" attribution="Powered by Bing">
              <cx:geoCache provider="{E9337A44-BEBE-4D9F-B70C-5C5E7DAFC167}">
                <cx:binary>1H1Zc9w4svVfcfj5Uo0d4MT0jRhWlSjJm7x0u90vDNmWSXAnQHD79V+Wlw4JI1k9GH8R136ZmC4V
mMzEyfUA9c8Pyz8+1NdX5tHS1K39x4fl18fFOPb/+OUX+6G4bq7sSaM/mM52n8aTD13zS/fpk/5w
/ctHczXrNv+FIMx++VBcmfF6efy//4TV8uvuaffhatRd+9Jdm/XVtXX1aL/z2Z0fPbr62Oh2r+1o
9IcR//p4f10X+vGj63bU4/pm7a9/fXzrTx4/+sVf6N8e+qgGuUb3Eb5L1IlglMZICPT5H378qO7a
/OvHUp5gzJlUHMef/4lvj35+1cDXH5TmsyxXHz+aa2vhXT7/719fuyU4/Nenjx996Fw7HrWVg+J+
fXzeftRXjx9p2+2+fLDrjlKfP//8mr/c1vP//tP7D/Di3n+5YQpfSw999G+W+Ff7sTBXjy7N1cdr
W3zTy39vEsxPJOccqxh90Xl82yTxSSw4wzxmXz6m3x79xSR/X6y7beN/3zPSvy5/LiNZe9V8U9B/
bxsiTihnVMVgnS//btkmJieKSA6Go3fb5iFp7jHJl6/5lnj9U1kideWVuRp/oC3IiYiJEPwbTDyc
4BMeS8QpJ19sIb89+gtO/oY8d1vjry969kgvfip7JBrC1TeV/ABk8BMhY4gTnN4VSBR8jGIhWEy+
PfOLGR4U424jfP2aZ4Lk1U9lgrSD2PajIjmEDSoooTG50zVJdoI4EbEgX+HAvz36Kxy+L8vdVvj8
Ap4N0n/9VDY4uzLrVfsD7UDiExwrHDNQ8M1MCiIHQ4Qhpr7gw8uk/oYcd9vgry96djj7ubDw5Mq0
V+NV9QMtgdmJxIgRxshdLkmKEwwuCxzW3cH6b0l0t01ufNWzypOfCx1Prs1V/SNNgk4Yi5WUkvno
YEgRwfDXMsSLEg/LcY8hvsrvW+HnqjSeXUGovrLFaH6kKeITxglSFNLVz/+wbxGMVEzJ1yoj9uLF
35TpbrPc+rJnm2dnP1X8ePFR2+IHmoWgE44pYgzsckeFodgJIwpKEPTVap5ZHhbnbot8+55njBc/
VxC5dG159f5bYvPfJ7UUnShGoNQmUDzcDOb8BDyVAhvIO+u8h+W42wrfvudZ4TL5qSDx6qq8smNx
1f44Q0DdzRWD7FZ9VbhX69ETxREmCssvvsxDxd+S6G6T3PiqZ5VXP1e99+aq0fWj51cf3Y8zC8Yn
CAuMkFK38aFOGJKIIO4V3X9PiLstcfO7nineQD/wJ+oc/jaO0Gn+4Y1DAElMKBcYDHJHRFcQWYSA
doi6O9/921LdbR7v656Ffvu52oZvr+34KLlu86v6x6GFHL0UNG6RvB1NlDyJJZTm7Ktd/FTrbwpz
t1lufdkzytv/23HlbkTf7Jfc+ov/dPJBoJVLOCLqa3VIbruw+NhOERJR/gVMnif7Opm4X5q7zfH1
a7cE//885rh/BPLXYGgPlffh80TpxhTk+59+fj0YcnlfvdXOuvWW33B0/vHXxxjD0OKvOdVxia/f
+9KLuqXbv/7+GpKKXx/HElIvLCnnlAko3wVkAjOg9dfHQkHjBeZUCkFFA0alUNC0nRmLXx9TeQKg
EzwWSMQUMmuoPm3njh+JEykQIE9JIiGni6E/+e3VLrt6zbv2Lz18/f+PWtdcdrod7a+PYZ3+y18d
xYwIZpLB8OaI4P7D1SsYDcIf4f+x2ZJ1lY7FWYH3MX9hJ8gd/nr//2Dd4/NurBsTPQlbL/Iw8qIu
km1b17cFEcuX+diX8dh/sDxY5ebypYyqdV5aeSjMYMyrWWwof5MvW/fp++JDb+tOtQDEbq4fN1ul
XJWJQ0y43V72uIlRUtCS4wQx1JCE0WHMTr//sPtsAOa/+TALti/nvBWHxVJFE4VobpJuFerP768P
wL/zZdDt9WU8oL6MV3FwuGfPMJ5Z83pGJRJPVzW2SxrJTZikWYf+1fcfeM8LKdjpN1+oV6if5PGB
Ux3L5aIrXOZ2zLpCH77/gONCd+zaYxJ38wFKbzMaHeWHubJyvhArzciurywpnvKqKMkz7CpX7QY7
tKtMUM3wcIraYjJQwn9vd+Oj6u4S4KjqG9u7l42tuF35weX5NOwUUamk+FNf0WGukiGfpyZxq4ye
dnOOq4MjXafaJMoVaaDD8z0R7tPxcefekKDO12aq+QwqUITvqOk+ST7rB97vvsU9r9ABUme1jvyw
rlb+gbq1S7LJlS/CRD8+9aboqtTCUsMPFdX6GgF34Wkb6crtwpb3fEMXzbwfCs4P9Sin3/E8sGTJ
NhnmeZTnGUw9l31PBn4Yu2jbDmiJJrMXfdfJQPE9b0CWHKu1LsEbdMyVu1WIhSXDAFDaf18/9/g2
4YGniaeZly6XaVPbIXslm2Zwv9Nhi9HFGBWxfAmxhYrz7z/svp3k+R5SrlHb2T5K226V4tJCT2r8
vRnH6FPQ+tJzNVYhh+aFq3TrcHNYcxaZZNGVNQ9Y47jj7wC69JQVdxWrHVmztIvU1pzOBvfToZ5X
rPeDLlgc+BjPn1DWZWruI5mOoyPjWSu6Fh22FtfLodfjvIThWnpOY+imIaNLo9KeVNubyqzFi1aK
+M33bXGfrjyvMVeLwjPkOCmJFn2orZH0ac7WbnhbcVUtD6jqnh117Mff9B6FyvtKyV6lpmbredRs
6EWcY1Mn33+J+5ant5fvMr0iUI5InRzIkqByYe/E1vWHsOU99+Em2UkFnKZ0qsECY503B+Yi2QdK
7zkPp2m71mupUmanCmywqiVKLFr1FvgAD89VHPEhXkD7MW6G9rzHvJ0PppTbfBmkoGOWfNO8kqzU
4mgRaWwL/btU1l4uOh/WMPmFBzS5GqCUQfcn7Skb9dm40SVOiqqZURjEhAexRa+DGImRaWXznp3b
hkwqKR0zD8Xmo+e5wyMJD2VrXuaomcHEQ7b2Zl/mVMrLJtomcZGPWVMdlpys7R91o+ifrs3n9gFP
fl/OIzzg1UueyW6bwRXWqu4vishmEjL7Koa0To1zycakHctt2ulC9M1ptWy53As20+71hEbhAhXs
AXTNRCRVFWVpIyO3p3qWqZI1fWB/4CNS7lIvub3/+DQueiBDnFK0me6w4WwaDzzbtvqsj6lcX+S2
6T71EZubM7aplj9fKCXtMyKVKv9QFeH8AVHu8UTCw7JqS953s2ZpLzNLd2KLr/tlmYcwPyo8JNeG
CrwupUxN1M9pPmJWJzlV+ccgHHMPxw4bocoyZ2neL+odh+j23KKoCXOj/AiOGynkQPO2jCIZp7yG
SmbnsGq2xGmz2gd22T0oO7aDbz7A6mHlZDEqHdc5I+eKGYPeLz0GxBWkQF3Satc3CdlEn3/om82S
MLNwz3/Qua1hExmRCpU1LukHYptkdSwK9ODc8x8b26rBCSMPbuD4INYp32+ii/ZhZvechMhi1JbD
sqXW5WO6tbJMhOnLB3zQPZDgHvahoV9EC6SqaUl0syMjLvfZ2pHATeVBH6qeTmHdbSmBujFBBX7b
5uyhRPI+0T00Y9G3bKnzLc3lOj5za4sgPA8FLgP3jQfnonRjT826pVHWxOdkWqp9RhVLg8zKPDTT
fuL9WMHqY0bYbqbSJrbBOkx25qFZtWRTkwSzRiMpdhV1UyIqycL8KPOgXKLIoDmzWzpgXZ/auM13
E2fb6fc1c4TNHfGCeXhtM15sG47mdI74NZSd1XTKxqpv03GWIvANPMjSSU5tWWVzSgG4r+KxKw+Y
dVVYOc48yI4tpELzJua0Y1ycq5i7fbm2ge6GeZDFY1NnaitdmtuaPdF1I5/1Sx0ouodYCNRZVWE6
pkNXZnhnOLE7WSxVsf++ce8BLfNAy7PcVtEGbZ6+1ctFNebjU5dldSCoPMhCfzSasCvHU+Py2b6m
M1L1C26UKML2DfVQW2E9DflEFkgJ3barev5ujdf2gY1/j26oB1peRhVTKpsOQ13ghFpHkiGOXaDo
HmhpXzKSlWoCzUfvDIH8ro2XLMys1MNs1W8miqz4KjojA0n4JEJF99HKVeZUgadDPEPTmBxXt+GK
OZrjRuZToanPagurL2Vc7JyqXCIEKQPV7qG1YFx1MB2H1Rm5HjSrT3OdB3a2qIfWCk4wKZ3D4vHm
mrSWsYHKSyxhucFxiHJTMctIZVav1XTgYzYnC55IgvtsDAtR1MNqU/Sk7Shyh3ba2mQu9LUrNxym
deLh1G5m7LtidoemKlgiGH8XTZYELu7hFGXc0LWIxoMcULu3i76ybrOBi3swHWy8lJAJu0Mp4iIR
pa4TZ4gMXN3DqaRllOsoBtFjh59ZGI9cZjKvw0ZUxMPp4hhpGaycbhjOzyVbqwTfR2OkbNieIR5U
ybDEjevzKV1Z05okoj1P+5mMH4KCE/GwinVGTLc0EFkzW1/EpcV7W5XrIWx1chtOzmQ9zVfu0jGm
f+KSvLSMvgxb2keqXctmXaMx1UX0HNzju5XIwPYd8XAaa91I3MoxLedC7V3B33RV1oUZFHs4bSsb
mVg5l0Z61Lu6lE8lGVDYZsceTmEsPPd2UdGhrZePesVvCW+eBCkceyhVes4jiNdrCsvaMdmILUSy
WpqHuV7s4XTKuSsqZsYUOIfoDzaCH0is3nBYpoE9oLqhJqjOOpc2ndn23SLfF7rPAtXugTRTepCT
Ni7lq1l3TdOD6NVDk9fjIncUB0fywM2YFLeC6T5qxhSm/fEzZXP8rI6y/m2YWT2IkpGMBk7fwnYs
siKhzfyHVDrQpB5GN9bFZVZULjV8oglWy7t6UJdhcnsYZTNbZk1h7ai0b5hbn3FmnwUtjTyEdnOW
5SPNxwPKomgXldlTvaHA/gDyEIpx38stItEBDoy9aFb5Tpm1DnMtyINoVECebjrQSV20L7u8O82a
IsyTIw+drJ9XukBP/dBt05mZyRPGwyIo8oDZr3wUXQ+1nWjyp6pb0tZkYWNW5MFS1+NSOAdC981v
2+R2pfw9bId4kKzj0vRbBUZkRfXeLPFLtYkwP4U8PLphqpZ1FmO62hK/2daRpKWjdh8muIdI2mZL
W+p4TG0EVALSVmdxFv8RtraHyKrWlsOJpOjANWS3ERJXLKZhgQ1OZdx2grCxh6FGEJILLZaEWxbt
41hOQcCBIzq3V1d2kiPjU3QYxGvT7RV0sUN0wmIPkUVeDGwo1jF1CsgcM7V9ggfxJmxxD5MzzN/X
tc3sARf92VzDbH+g5Ri0U5jP6TLOoSqqYXFV80vq+g+arSZQKx4u4fDgigYV24Np6CWHtRc3ha7t
QRPPWlK6YGgbE4qeOpWXFwNbRKBWPHQWlk015LOwUfgmkg2Vv9WiCEqwWOxhc4kdm6sYkL/QdSx3
iGWi2xPIgHSQa2GxB9B+blgGs5oxzVl/Fc3TWxg+/Ba0FX2y1kQpMoKCXpzL+X5wlU4o3BUQlEdA
Q+g2PE0xSehHLyD4sly6Dl0s0xCIUOUhtGwkYrKgNlUVfVYD4fAA5/dImMaVh1CXG+BcumlMUV+/
ZFG9K00RlKQw5YVNw6N2zWljU0I42c0NNjvMyk9h5vQAusJEwapmtEAwEO9yu1xoyV+HLe3hczFj
VikSmXTF9ZzUnRxO26YMY0Ywn1jV8bmNJ6DvpDBC2vbt1j2X1IaN/ZnyAOp6YqsCzybtgP5SJ9aZ
6Ek0ofVVmGY8eM4RBa/IHFh0Wj9ayOAWq94HLe0TnEYIPEUvOptWIn+19P05apqwfehzm6ZMVaKs
mUm3aSgO05yTfVS3H8Lk9sCpN5ZZs1Q2jYt+V7H1eaMeSjuPOPn3qor5LKY5gn7w1EuTFs3EXWKk
KJ8Nol+SuSRu3YXJ74GUV+3SVh03aa3pn3XB3kZ99SZsaQ+iCzAeayEzA/if7NlkDU7wxMJGdUx6
KM1JwbWhBARn+G0zRW3Cov73MMn9GLoMfWVQYVNONJsPG3UrS1pVF1VYkJYeTlmR58qpGrbkEr3U
DXmjh7BanEkPo7XmAxTMsHS2xi9HpF9kVASNoZjPWarVmjXDtJqUZg1JI0XGlzifdRDTl/l8TSIn
xCcNOzFD25qsZkgpCySMMZ8P1SxZNC62MGk79ShBkzwd5jysOwynHm4H/9Ew51gMKgf3+GRayZOa
L2EY8llQ8ZzXrhxyk8osbxO5rU9io8PmZsxnOsWwS9BCKpPibrqkeHhq0Bgot4dOo2E6IeZoSK1Q
bzU2L+tqCCrimPDAmS2sqfK+NKkAzSQxkNCTYW1UmD/02UgjLYeo7OIB5jbFsDOkeumiOCwF9alI
CEGd1XI0pLmmTZnM0Kg4OBSJMMX4VKSyjIGVVq6Am3htdsoJ8arWaAuzqE9FmkouMuDaDekWG7LD
lj2HSBo2PWc+DclFrer40sF26WKGKvC1a2WLRMVTFdTDgQn/bYwCPRfF+dKC7vNilrsWmmdplrEh
bI7AfLrRWjmnTJP1qYpsNeymuW8+uVjOgUUjZ7flxw1BbI6jPjXFavdNLsoENMRPgwKeTziSclkU
mlCfulqQHRLAK4c71gL9I/cQO9bAwLO07VPLZD4meCPVVbUubZ6ESe9F00UbYeYFdNMVZZfosflt
qXFYzON+OCXd3ETSgd5b1Z+tFtnTue6KsyDJfb7RRCe69vXcp2XGt7eoy/IzuOuxr8IU4xOOKPhJ
TlYwa9xmgz2VTlGW8KwTQ+ADvOwXhnFV1/YTaJ7a+dwY9Vsx1GG9eeZTjmTVEOAYmz6VbHytc/ty
rsbXYXr3st48W2da1/mQyjb+s+1mnBRw4UegUjyoDtAyV5Fr+pSaUv0pYahw5qpmCtwyXmQdUbSs
G+VdCkiNEwHUlyRaI3kIUwy57WbMGsGMvobV+bS6hOP+omofYjF9TkHvKGh8mtGgF6DXKdKlk6jy
LIFpcQnORuql2uVNnFdnTb/Or11j63NqaSTSsSgG/gaOuMnhEvp/1ryOZSPOKphLdmdl1TKRyFpD
Mz5fBoXmZGPlYH6bBxK5HVqHtrrqiiIadgISS7LHHHrtB9m7xe1rDF2ynYAp9XLuhkiVKZFLwc6z
rpzXHUbQTfgjAmbveoppaeWeygXWnGs9bqf5EBcWTtuRzZ02hCzb3k4Nbf9cJGPZ5chEVL63mA9D
qjYST6lZ4H33/bjxQ4kmrnatJLjaiVXm7izHXR4/FaqFc2Fo2MhruD1uTiYizHmvrdlS1MVqPZ2b
emL7ybCcHyY5M2hh18XEdnndNx3ks3G87pTRVCZNpw1+MrdZGZ/XFI8s3UDb847Tajrftqh5btoJ
sT1D07QlZWay7XWNy06GZSHMc5jNwpyoHO1SwYsOuj5RQnIah0HLZ3pRlq2QSNZ9WojmOmPV60zq
MLl9ntcEk5ilJiA3d1lq4/oi4zisOUg9L8knYKZg6CClcPPfkmRRXCVxjbtAnXiZjUE5FRUM7dKc
lGWyVMMnUZqwpI96frKE461TK1GXutX1z+GAlj7r6NiEuTLqOcpCaORaImyam4o9ZZC/AvPfje+C
XBn1HKVp8mma+qlLK5W7340aNmjmt2oMVLvnKYdWj3BMJO7SGJrKCSfl02LLww5/MZ/khQDCnKm+
S9euz5p9h+YyXQakA6scn+aFW423iMKOFHnDlwOxrdsSGfFq2Acp36d6jc0wZ1ExdikMqj7NPbvg
kQ070QG3bd2OUb2bzTSssksLFAOPbLRyqXc0LsmnMNk9uE582OjkSJ/WQ7ypRHYDhRm7IiSMi8GI
h9i5b2uMlhwSBLi1PHFyLg9a68AEwed79XLOyi2HEA4zGrMDRpnY9dGM0jDleJidERyV5rrt4KBr
XV8IOvExEYMRYfx+5rO9bNnmQGTqwA23Tl4ULUV/Qk27hrWCiQdauTTD1ljIV6GVtZxnLHOpRKMM
3PReHUJo7WJ9jE6lbvKdnYc8cWPThDkcn/KFDV7cAnVyGq0tvS6AbX69Na4JY34yn/TFCW3Loqz6
lAs5RedV3OIdyuaZPzA7vOdcHfOJX3DcNMtErdp0qzE1b/pKT90uky3p97Ptojdw4Ox5FMV1uYcs
rop3eQzF6GkRcd6FWd/nh8E5XYFcCfnnvA6F2kVNCRdQNEXb12FltE8QE4huULMcPVM24uxJo3M4
d7YO64jCulM+RWxDzsCJV9KmlGJdJctcziwpKzYFJljYg7ewW2NaAg9YHQHa8ubeAnv/Q5Dr8Fli
9disY+y2Nu1Na3dLTj9tIw8V3EN2PmzY2ko2KeS2pzWpLgixYS2Az0cob1DRmyhC+Qw3iKQjm+yu
ihiMGubtVZhSvHR5LGqT43lq08wZdXAFyZOG68BQ6fPEZgk/4tCCRVNtluh9U870g4kg3ATJ7hPF
bMnajrW4SSHXei6n7Uk95A/c5XLcb3eUij5PLF9gzihM16Z2IcUFro1K4Acp5rAg5lPF5kpoNVW0
SWmlujwplRouCunaIgymPmGMxUtHRYuaVPK23A2xOqsYXsPigE8ZM32b51ms2zRmxfzUmobt5FhO
L79v02Nmf5fivaw5nqt1mjHE93pjA6T8yObxoUa46w4Cqro2KMeiPncHbv/Isn40dboZ+R4K9WeN
LN5+/w3u3jr0eJXUTTIqmxCMBuE4FpwQ7LIyGaybrmc6hF09QGNPQRpy5bbI2jqNe5VBd8eq80Zw
FwQpuCv+tvAdKd2yGRA+ywuo8THpE7hSIswdUJ+/E4tNrtxCswPPI173rYbh765s23IKq3R9aqBa
RaYEzbsUOTr2CdihPHpMFHf7EOMy5KVYTaTtMMUaXA4nr92IXuU4C1I9Q54nhjtDRoUMyA5NU77X
BiY0m8NtEGrhIsHbhm3Bx0QVkD0PWJrs1bRG/eu24GGH1OCytNur17rFDhFbH0Oretk3lKej5ipI
6dSnCPbQNEJZc9zyBTSbukG9jFiuAxXjFUNuHdvVrboG4gfczLWDM6XDu62Ouylwfc+sapqzHjLb
OsWFWPcqR+iyg/N8r0L2I8xEbit+FRo6XPMQ7XOcL91FiTB6TkjP3QOA+txp+Xd/TH1iGfw2FFmE
cODNhOPNiwHj1p3pahrMKRRijpzCXXrC7gdeL93TaIWq4Gkvy6F5RzBlp06Q7VyyaOVJvGUObldY
o6p60bR8IbtmGFa92/Ii29532ardadtDzN05Xi4faMPYk6kvx4tVF9MpzdwMS8AdGEWCGs22NwWG
8y0vq+M9FW9arXq7h4KNbfCpmXcFAubn87Ivom0Pf231M0qybgpKJOHK4dtKB17jQI4Hkg95hsvn
U1zFT4kmeViApT4lrosq3kF3tErJgq4FGV7GOL8M2y7HqHsjlYRac20iMVcp3YBnWxN2Tjr70EUa
R8TctVW8wOdc1OSbXap06OGujnNjt3rexyuwHvYzVAj5Ofz4SF28C3sTLwziIeaCTbxKoz4SB1bN
9enW1/lvYauT23oq1sxBjUirdOpYsY+y7e1Ykof0dFT2XXryYghGuXaVcVUqaqdfA6uavVBFvlwt
JY4e6Gze9wjP6aAsljnph+pgF1qJfTEOZtDJZKDZfq5nONH2QFF9j8l91hzQE3I3iTo/wO/FVdWp
4wsGdlhUH3SzKbIDRndYV4n6JLq8gN5JZmpQWksiILqJt+CIAnOq4/W7N2ERwYUj0AhoqxTDOG6k
8+lI8QMO+h5L+CQ6SYHLucEZ3H2VD3I8j2vLTzsVw9xf5FONgtgFVB6ffgPXHNYWWssIrumAiwTh
rHv+RzzIsKOt1L8KzK7xoPVqylRKPp4C51olWYHDihXqE+kmDa1I6nCRaqbYaT+tzV7FOqiOo9ID
MhI9rmtZZ3s86QuU0YR1IlDnHoxXimrbjbD0trFDFg+njSZB9SH1OXQrXISmbVxl+0qTJ5JHTwYR
1sWjPocOaIXHi3B1tu/LebgorR3TiNPXQW7Tp9BlXBbTSiPY7Di3h743LFnjmp2Gre6hFMWVyTiK
dCq17Z8A6/XtkK9hl8NSn0OXC5lHE3E6rVdSn7p4bM/QUIdRUalPo4vWBeYpjdGpLsth3xfqaSSN
PYTpxYu7S4kGZ2kX78eG6eWUkPm33lRVWFMR7ry+7VuKLh6HmrXxvp2G51XdpaXpwoK4T6Vbi2XJ
mxwSqXp0Omldi3ZbzR/wvMfXvyPM+ky6Cdj5G5zwAxDZqUuANbbrBdwoHKZzL8BucEmPncZew6ml
Zt21ed8NSWbaOIyQBhdS31Z63Kxw5qLiMRy06jaSqDozT7ql0mHnIKnPpnOizVo50HjfzBvMbF8C
C+ABzXxu1d6hd59Lx8SG4XKqvEjxGtHpCdINhwNGOdzl+QZuSupSzeONJnKYGn4Q0F2bd8NY8Qlu
yOzFejq4GA2Hrcc5uWokJ1OaKaplUAeeHn+C7WacrOORblRxe9ByMac8G+FO4agKm6tR/4YfOhO6
1dVoD3RuCmBZjG/gSOXygF7v2c4+gXCJBgxXhozHSs+M+bmmSLlDYSvb7oO2tM8gbLUehcKF3C+m
EOBb19K1uwJ+TYKGlU0+hdCMldumrHcH1xX9oVFs3vcxC2qSU59BCNkmpz1t3AEfryyb+QCHzJkM
oobDrwLc3ja9nJjNRlh8cnDtdG3ZkHQ1CaMnUu4lEqxwcJDfte5AStzvaIXLBPp778Os6jmqrlLw
c4M0Gw8TKZpERRGcPVsYCgvJPn8wB5osYhEdDx2QgpKuMvnzWtLx9yDZffogm/ueYjGMhyiGgQ2r
tvygVx6mGP+6Mm1m3MEMeTzA9Zrksm2W6r1AmwzL4Hzu4MaLeRjdZA9tK+odXLoNl9mwLOzCFupf
9uXmAa7Mkqs9rBJvSYUqs5NVYK7CvM3OKyciOoDoWwPXtczj+gmZIuwsIfUpeNHWN0NWU3fI4fTM
Pp6LYgdOLWx4Dz+neRunGxyDyPQEiZXsyXvb0NdNQcKOV8NPQt5eu2ig99j1zB00MihZepIdsgxo
dN/f6veUiT77q8bVQKqOqlOR1Xy6LFyjm9NVkNqcMtNDFPz+Y+4JIj4TLJtoxnAJLwE/AhTtJ8Lz
Xbu4MCYY9e/76otMjqOA1fO81XsFNLBd3K0fw0T3QndVAqaAz2gO/dKvO90M5d42WVj08Jlgcc/Q
2HBuDlPlptOmUCSBC4y3sPDhM8HWBsqNzczmMBbb/+Psy7okxdGz/4pPX5sxmzYfjy+AiIzIvbKy
spYbTi3ZgJBAIIEQv/57oj3+PJ2envap031TlZUEAdKrd3kWdUxs/2FPJPnJV/pmu+6tzvcRvZ6D
4S0rtdpkCUjqz8H+MdX//aofWGCO8docIh3NpdzNUGQm/JxyExjQv796nedqTiQ1h85NbbkTrUoO
5fqfS2jeYsCWJKDlPDf8KOWwP++x2V5kPPyZlPwfbKW3KLA68z5ZAFY+kDkBH+Vyahs4BRY/tdov
9oJ/n6jC4Qbt6iDEMY/QOl+j76Mann/u0pde3t/1ivokTWr4Z7AjdL5qVaw70Imu3eynn7v8m32a
qDEb93gWR2L0AACu3Gh7SxM18J/bq2/lvozlC1JhI47CJoUU6bWKfzKdeQv+ghDX5EKKS+scx98F
DzH8HCAxe4v8gj9DV7dsEsf9In3U+yQv85b7n1wub7apjFXr9jDmFVS4TsNsHmP6c2qC2VvYV0wA
Ksq0zisK+IMcott86N791FL5X5AvyAi1czbkVUoXnVzlRoF33Xq9fPi567+ZSg4mmaRaRnbMx2SD
hHpu8+sLVe/P9AQvm/EfVLpv8Vxd1Juc+5oetYnsydXrqu8ti5vmAJ4qq8+N3n175/b6/1Bc/1bv
/aMPfbN9WUjrYZWTQu23+WErE9Wp1Bz6HrtOHdt661UxjRp2NcWQTTjbNxnmgZ1HZWirjyisZa8L
tfdrOLd1iOqvWeYBuxtiQFr7IpNh975AkmOm254m3NyttvYJPW9Rzqa+mHfVRF0RZ6LLmmJ2zCAR
GileXUHENDZfzdzqJSnynnX6nO095J6rgIKeNVWYVj+Xfcjk9h4Scn7tCtLD4gcy36Hb7FAkYolo
XogAafj+lJieQvpeo2fpdAFegVpwg5aNwweTalQDkkn+qzYafz0vU75WFHDfrFjwhPpyXX3aXe1h
2eiMHDmzw9cRTVu2FNucxIkvCKdN+3no8l58180Cox8QOfdx1gXUvmT4dAHpncyuw1YMEI2ypfed
TfqKgThZH3aMbNJDlNabLWuOlSbKlfpAdJWuO4lvEr5ScezIsmvwwqYxnOASMJSMmpXeyXjpeBV3
mc/KltEJWRjXvOIaArjFNjV0GoDflGPbVE6gaGYlOiRbM+LOpmFmBZyyGXgja3dV5wxpI2IJ1cs1
3tbYdsXMkdkVIomUrhY9pF8mp2nlw76x70u3h+xo5pH09/uccvrSTilj95mrs+x2r1u+NJXawVHJ
j8IvCRQRdsoWdQeGBsf7Ml1ncHNNvItmOcZQNUY2puNx70+BZpv/NnHdjU05rmgGnxkYSOI52dhm
Q6mGHE5iDY8uMpBqUYOPwGLZAdqCgg5b1uUQ8C7H8ZwSNNLSM+0H3hY97cWR9u1QjnTzekZLIkR2
vWSWq72JF9sf/IwYdU/HZpHP25Y2A8dyGNPlKDNit3Js2jyFSmwbVIW6puWfucuG8UZsO5pALYmX
bS68cWjmF4ITliKDci7LslLAGl6+S3o+0yMEVvrtZkh9gq527KCttmPM7NYG3K04WOqA5KQQWYvV
8i1VETgz88py854RnfCqrS2R31D7cIVNo/Nxrawko73vl7ihz4BnTfooAwNNSIzxSK53EqX9bdL6
fv/RDWpcwJiZozG/n7Bp28Ng2pCejU7k9LGNNI9ThLe+oaRgOhfmPnauT77lsq55KOpG6ObK+3Ul
1/Hc5eMn6WkgJTTvY7DRG58lAtLOhKrvtfNN3xT91PNvJKOT+Qh2+d6WmC7h7ALPYwx3QPVZjl8e
o/z7KOd1P+vUhPDc73GSlKbFTvoucyzzU9On+70TcXOM04nLBz4vjB5i3pn2aerbbX/0IHikESbR
0A3g1UWJmJ6td8Pwa4/JTXsj6ZSFq3GUqr6aUpHMN8sEr8xS5lmefuYU7uQ/Et/X96CQR9cYI+3f
QW3RhfSkqRoIBEXV1u3cX8NDYt1PEA/KPinR5aIyCkzHdyy0arhPmrpLzn7slnCIplZuJxHmmF4x
uvXxx5jWff3UTqIxpQkugiaijIUFiUZTGPmtuyXznY13F58zQ436AOOOenxYiGDtMW77kVVukyti
pyd8bo/ATyfz3SRW+l1BE2Aoa/Td/EO7xTNCSTtu/kDJ6OamijGtWm96CYHjY90sBvSaiK3Nc8ut
yM/aGEMLV0cz/da2QpqyGWzvZMGHpI7hPZRn29kqbV3lfBpHlbNDmhSD2r35nDmBO6hI3CSQM9xw
F13U2LmQW2SHw3CR5CkgaLf395MHMe1AzOy/pHHwFPZqDawiS1hB0DukS81rjS3MSqnaVJdUezJ+
DBP8GSFwpDUkz4qs3/fu7B1Yss8B/nRzXbSTYxvi/W78OBbS4Zj2BTreq/3ulzUjL7DgmHEg9FCr
EU8KV7m8SOOW+QATR0w6D4NPNSnA/RzIlRKJ6A/r2mQqFE3i+H7jN9uga7HBWUqc4jogRwSTrW3P
Fi5rUbHPXRe9p6Sf06rN6RJVNl4TUbGw7/JljvdMnla3e3G16DGqq8mndbjNYN71GCdWdu/RRU5D
X3RKOXGEanzjrkWPCuY+oK/Ej3nf4bxzdU0m4LzzdrvVTSz7ctznxJW5mVkE3sJs686DPbfb5MnF
vQYZY8ide+y2mKWnESNjeT9C6a6bijXkMNCBrngx+Vkk5yQT1j0QO0XD17TbuLqlKrNYY0OrVfsj
U3zHStCQbLOHseHdesQ32+SB6D63H2i/tvW1bTqZnUGipepumVN4bh0QjhStYJWU1a87pJKhaW5b
SU527JoG2GYwsLBGOHSUrlvpgjkZqTNghlNgiOODNXA9LFYXhvQ9PpO/rEnrti8KovHgpIu0HfNy
gvxiU0aIT3W51WZ7L1PqshMXBlwXMgwAq+p15lEZzOJgKTePfgOBZGVJiYECbx9xu4Q8bD403Ska
0hyTo67uo+VZ630crgHdbXdkRcO+fcepYYceGqlxnLy7TGqyuMzaie13eyxybRGJ91CfucSrh9As
heHYrUdAnh7gfmHnc+xa4U6bo4JcTu6thSZAg8dobeEEdnkMvbpmX5py6nwI7zKxKVHAyIzTI8s1
4lvRZ17OD7FL+PR1n63JZaHcupFzyLN4u8+x+ttP0m6woMGXzMb6oUc7zD/xHg/xek/lvFVDthB3
wvkfmQYPN9Xrwe+M+QbJkxt3vMy5WY+r7yP9gSXB6ccVz2y9niTwgw9y7dquzGU72k+bYSn5rFMW
uC6gEBYPBk8qU82PAZqp8SNU63PxdYTySv9lUlOfor6CIGJWaplKdtLM2YD8rY05HYspWgKOQrXh
+EC2B8lYGpGVVRYiDWMAbJRF36AqH/IyxqEuz/sy9c9swfo+9LFXtOy2HfMXzYb8I0mBiyizwGtZ
ohbNGRwRR7ZcpYoRuhbZFuvp3rRTC8pxAvnOoxFSjXeZNj5SBQUD66scJ7cdSdLl60MyxDP0dzFn
Fc85H3x7XBWcch6ntM0+cQuXl8rmNVoBvIscvQ+DqdkxnqVPHzB/yoYn1TO73yRymEYEzBx7A7B4
ANX4VQ8R1fmu1kqYreR53jwGIF+icqOdXp/s7icQosF7TX0JGcO6L5lIOvPQW/SYilY3ajpkAbxa
dQRFLTnwOhuGao7rFG+ia1Vyly/m4uRK7SX54UD7tk0p+ErSSi9TnCxFv2/ho+QKqknFrsFafDYg
t2UvjaXj7TwsyLjKtpFRmUiowoUS0X0tmKeZ+5gukD04NdQbnPdsi5GmZyDwGleELI/cucMtxO+W
cXCsTAmdqj60y3DVb9jqn0k8+/WYsl4lcCaZIXmW5F3Gq0wBR1rYLNmPAoeRd8VMamnvF0CnxFBq
qpm67W0dHni4GKDu857dWM77+MDhYLPhGEXKUc17jrDv1Ro1554OxD0vqk7Wp2FekhKDhin9ElTt
17L2bX5CugbXzB4smhFTt2LeZHtqnYGwRg5eNQ7brNx3J0wxwgyJVm6O01ODfOCj1yy7aSClpAsq
5GTLNklpA81WkxbjmEt6zX0TfuRg/8i7FFtHX+3S7uJuitL5MfaQeEUJlLnbhvJ0R+6U5PPjGhkg
yd3GSgoa+R2GIiBrw7w0gxo5aMh3Yebph9FHzaFPJe0LrTd3s/ZKPDQeCvpVj2Vckm3xZdrW3SnP
c3G70CZcN8mmvoRmle9Fpuayi+k7RWb9gUgxiKKJjQXsZFF9PxVb3AlviwbZbjgGuMeFE13T5oUm
m7l2MnBRYTnTUu/Lvh2HWZLrAPhi/sFHnL1vlAdqoUrdwKJTrdnqVVFj5XLQ5EMb/+hcHdwHQigN
xdrpjQPKmaw+VN1FD+CswrZDNoXPSTBw1p0mm6KO6bJRVg1dk+h6TXKwsUEr9fH13Ca1uLfRZt1x
Bc8/ftmpSmkpQr66myU3pPmCzFVPB+LSKD2ZznT5rdxWBbPXZlhV4RMz85dsUSZ+mLIlMwfINIQB
kgSWtucxWoX6HLXwEpYlCR3pqtjK1hUL6ZCKCrewrpwVchRf1FmUZaoIJCzd942TbLpdt3Hdv8GU
yiMdah0nWN0Ke4uYQoIwJA9Q0anTq5mrTr7bEtT+h3HIM310DHGnQkXTsPN0gd8dJqbT7AGkGklu
gJ/NkioRGxHnBLSp7dcO/AD9sFjHTVwG0azttZ1sFtMCgiIcM8Zdpiq8Q2nMUlTBgGzuN9Yqi7jQ
Dswnd0ZjS77vUaz6zz3pxTkfMWfKrPbsc2KzPvqiMaVEmbyNBCaIaEK3JVYHkqWiXlZEdzsvW7Xq
ZuYfKTj97oV7xPZP1k4ilRVhU4Tzqh5ItL6nfpdbU0RpyrLCuXrWpagzld7bnW/h1xx0f/Vj7sBm
O3AJJ8GnoNpNQHCAjPMjPJ5Jvx2GFequV6KL0vGRYpchIsbZPHGEp3ZjaBa2A2jNJ5nFrT9lfdvH
usr3GSlAoSilDWTgR9QfyPjkVIbVXHIR2Lg4/066eW78leibfn5RNhrX4ygjJ87WioXgje3Cz9WU
qm390gsCLhJte2G/ON9P69E0sY5K0S/JTTc1NS0nTJPdbZAyb/BKWAcyoEWXvZzNOiEpnSjkZF6W
HSq5IEhP9e3YpNOVrzf+NGVpcMgOyL6bh6CUKmbYdRYghTVLBn8xLsdj8JyEsoHD6XLeM4sCrRUL
K6zzY2QKtzhv37HEs/bXFdYm/LD3cdxW1F/O1aKx8Jg41UizbztIc2HVZYnOrmsJy9Qb04Txo+B4
CFXmXJ6oIu6AG3ixapcRstQQR1fbjnV9hTwgYdcOR4D86n3WXaEESMTnERLnrC2JaOLuyaykbSEJ
nWjaLQUWGclKjqgaUM1FIM7trE26ey59vJczNvyHPiH6oOqODthq9XI9xuhg3KFfkZFHPmy0v/br
LL6hE/MJqYdLKSxVKCDgIzxi0qchbeov0LOQXdVoBMVOzv2dczEysx0CI/6sGG9LswcYjgD/H586
NmfqbnKZVXdzvdibxZhRfoVBtHuNpt7aalsivMZ8Yy/9kl+GOz3H2b7l/oUil3BVs0/I1YFrcluh
PNNHkJUFLaTxDXIDjCpXmN3xDf1aREKL/o6T9x50BDgw8kunB8Tv+aVHMlakBAj0M1rpwt5mE5+i
x4wBxAdQEBua9bzSpnEKL2UJsQWju5bdYYszLtlBctq9ayZ4wx8S0BymX7c17dcyatG5+gKtBhjU
zoTb/DC0aUixNLv0/dyhHrkKg7RFKhFATbEuM1zsmnRpv3OibfqS+aVdy6BtgmqH5WrdCrlyFX3u
uqT+xi+pyYlvYJl/CNS8ul65HOmumBIkszrvl5OAJwgvBZ3160iwZQsOy44StiBxflAi5781//ps
x0MI/AB9yzpHKQNT9eOWMs8+mSYS4B93okZnMBIaykjWQKKgQlKi/TWh4/hdqS1LEOfyVg4vUGoT
skzn1mcn6fLwA6Vzs9/MKq1fdat2QeD/Hdb0Vrc+nz5EdUzJawLLDPIDpWWLzohsyK0Y5x6xI25D
mTbJ5B9nUTMDqhFmS3lDm/ixiyhFNxupR3xDPARFj2KdaVptbo+zw0pXuxZKL9t7aCIn+Uczi/Vd
FOX2I69Z8gEACrdfjTXYIqdoRGG8Kb2tB5pzCPrucjUf8cz7myHpAWujEgbc0DjJx/PYCjGVxAza
Fyaq+09g6m7FRMDyMSb39GbeTPTIqN/uqNhbfhxrSC8cFAnb1QRbiavEqPicwyYZMW/I7EsrGhIe
TDOCPbyu0PspyLTU7r1fIPH6BQIiKM5s8Hn7Ca3hjBV0DXgOqZcSYUFkSTYi42DgH/PYfWg3iiQx
QyuhaZBlSBJBHpbtUTUDBk8OhDfom3jYq8OnhM17d5Wa2LxAfl32TykfQQLf4MDw1OFGiqxbE7OU
CNvB+WJGbyx7MH3L8jIzuJ0P41j78SinWrZlmjPjv12wrudxUFrfbIztCp/RR/apT3KvHrKGeSRs
ocuOnJtoPAFCyfw7tKKHA8LEMBxnQqSt0nZVCeByMIY9jD5GEIE+xjXeBdoRtSGjQbntAVpeQ3BP
NmrlWg5kSdR1FK16v4L82P4jIrBNKhSsIW+afdywfWqOx9H7+NCLfCmnyfnrbEyQcLbdcBNMS56A
Xp7AEIC+I/ocEGrIclZ/inbAyY8cDJnwAX2mbcVBZOPkh+NzkzJ44PQ72gNWLWY4D5hQdF/afbK6
xJsC4Z33LTJzREy16rKdagP9cogXiTtIpHFWCk/Nct7GfOJXDLbcsEatV8q7IiKQPTx6kV02YSTX
poG74oSKCcGnr+RuhT87kDJEkY6bU9jGmHe9Ljg767OZXdxUKxS1YyAxdZonL2OODK1avZjbkuUr
BdfH0dC/dBQyNVUMvfnuk0JDIy/0sLTth3jbET2aKKLJNWWJJqUWqUqrEd2wtRyHFa2tAiSorakk
WGjxQ26mmb+DIUi3FgEq0OawhJqMRUj3HBmMMIn7Hs1wVSgIqB7iHbxsVnbVBuPZd4ov5T9aJKj0
lthEsTJXrE8fVeNjiCYbFAVtZ7V+CiDw98dU2liHgoBsv6KB2Q57g0LdoeWARb0hKYRtej3B61rY
+q4d424/J3m8DXfCoE9bUJN56KWbdn6NSda19+leDwD31HE/nBa+RukjCHaMYk/N2e4x/xmCOcK/
0c9HwMWMLjFVIcu3wWsbwSBxd/wcKbRTPsVKX94QReFTJbMwEqxFFGD6fkH/sC/Br3B2KaDFkqQ3
MU0JikviouHUAWexfvNpELaqKa3dlUe89tVMjOkPKsv4VKVwpHF9Mc06tEdUg0rc1Dnk1wC+VBd7
MLiljZVsO7Fd1y5mvARPpBGkghJDjA3V1RrzbIxCx+aarlu2I2dxJj+hSTBiWj8htyvQh036AszC
XVYTloE65tuSTK+sI72KUDskucvgdwsRk19NrxX4XD0mZA6HqUaemJeRmsUVTU0atnOf8Iy/QDNa
u1uP0n4z+OJdLnPkIFs2PhDWqe1jhG8joqJNXDYux4uaNQrSle9rfr9cKuibOhr7DckX8LIQmAp1
0zwEnVgUK/OSUWzwvEfPipWYtRBUq7HVYvjeBVTXAMgFpuPX2a3RhGSAERRMowPddoVbzThfWzEu
/IEgeDRIFbncf/QtphFfpPRjf8ybfIg8nq7JBngx07l7lyPdx15OBcvJ0SA1ml5bkxPPC5cIqDV7
li/8OUF/roP9C/r/7puY86V/MdEyRo9jg4HPu/VSqEKxIHCVlmydoGsM2pyZ1bnVmHthkeQmO84M
hQ89wEdxmW7AAGyIL3fMkEZUut3MOlbFhDp+4w0mSbfIrjm9RVqU2/eDkv18zZrMj+dogVf6lyyO
67ikl5ztuIw6WgrFUh/djjHUqd5Fi106xDjI0JcCmfFwCIvm831nHYgumsRsfd4VcIEljy2GPF2m
BkjMzE3kvnNqTf2ceYvgP8DfQK77dbTDvhspK3QN1dmbJgvIp2BxXSZsc8spjIPITjO67P5K9XSP
X9BVJOS66zEJLE2sAQA4gHgaz7zC2tzR27p01KLjNKfpUmZUy6jAnrujxoYcs0YCeYxjnABaPR27
KMG8hw4Y8YRCwWKNF2HaDKnmlpH85LZF7CeTb1E8QNIt9YtAT6+BV9q4iETekmS29oVYqKq/siZf
9C0S244dFWkX8d57jGYq1XDZgJ0IQNpjNwyK3tSNGvr3nuPB3ISU9/Y6XmCpc7fiXlM4moedPMqF
6eZ6k7PoP6DQ6+q1jBdky1MlR67Rts6h0dbF5YLNbKIS2h80mApzQMbFsQcc8CJhzD5DwTC2SSkE
BDD1QWMUZJczErAZD9YxaeZHnNMDGs8A42CUhtxNhPcZHjvIVYK0/f4B05N6O67YyUex7+wWRTSN
btKoFkjsaAz1uvQyxuPpVSwpNVe9ZBO53dUIim6ShtF99t0iIFrRL5AOObrGbKEtEk8Jw4wzBegq
nixfS4rGhv2iV0jWP46QXbDp8SL1mqCnsRGYu/N5F6sshfa+r4KeL45yztJ7Mtf5cM5BLvenaTBL
VjVrMMNtaqFTgxZpjHnrGGa2HDs08ZMiskkSHTGjdF2leCNQdprJGmRIme6yrxuDi/xNvTdye4Ik
Q+7Qe2/ref+RDSRrvpl+jNU5zkB1PMfo+k53oJfP7llBkhq5zUDy7TbJIxt+DROR5jaEJrJo8G0p
L3eBdKRAf3nBbKWzFmC/yeV3S6ytL12Aceh5xi3IatnTtC+BjaeYmef5BaO68qMAPPherXAG/hD7
vrF3s9uT4ZrB9m6/vG1Wg+sgXIAzvGW5/IY2X5RVkvDIWIi1op4p7YDVrg/IrHsckAiklzLfz8Y/
iGheszJEUTJjs/BpBl3CkMsTFAbtKmQSMxEPlq0qAi+9Y92P5XI+/mALePaQNyDNeRpFSIoY8U69
z+Y5ddh7DdGTKwy3IPqjxQSjKNbGXVxlKYkAr8maqb5PW+b8EWEUWoirGrr11cnNbLfjzjT5OG8L
zVG8THK5DoHt20fOtFkfLhqO2cnqpS40xG6mAtloc2mWm23FmYsB5iMPQbBr24JpcI9BiYYGA3Lj
Ha2tqUfXisC4MifuK4irEy9ALEr9YaOmR9duntonwCQSZEQrTJmfJJCNOBfhsQHtRrHyWrwwEwvA
tYcY86z1aqjnaXRFB75fXowcOIKsxOx7Xl7RSGrQvEXDJnZf0a3Yu6igDumrLAiirEMPUY1gexQQ
qUfdedxAD4U50LDltP0MhnVY5mLxMLGZrvTqSCdLP0E/HHloTDeSVHPWAspR/audHeR5I8KvMKnK
XBkDEWSLiLupLiGUnH3I8NvRzerbxpxFe+n9Nii/N3OJmXn9MKZ2PqBbsC9AKkd1dP7XetniLdhc
nSDUvW1VTOW4FHtoyQMGVsNS0Rrk759DML1VFqIhH/Q4WHWIxSeZP9P15xDqbwWFiMpWjGtw3ax7
4mhadOQnKTRv5YRGqDWKumPsiGMyRhNJrPGdRbS2f8Lh/QPBKowMfg/UQyssdUCkYTIRYf9N7di5
G+2jERqIdjZoOKWrhC0AE1P6uFm0blFgySgux2jDe/rnEKoLqugfoY3eAMsajGi2LprZcYSbqao6
MEPuAB6cSuRrGD9iFsfP//yT/ghM9QYLOk8WSw2Y4iMEASb23oWxXirTIM+tPE4mqJNCkUQhK93C
8CdP+A8gnG/ViSTwYThNUnKkHJ4cDrIzhwm95j/5Qn909TfoMwNHP8taQYAc0d/6OXnx3NR/Ahf/
o2u/gYciTZ+0aWpyDLD9KNo5nLtFZT958TcIM5ckbhgXSo7oQR8wSO2KOkHn8Z+/5j+68zfw0Hpb
O0dER49NHFmc6WtdJC1O/5+7+uVT/w7bmvYmAzoIzyXdNbR5nYDL5D6+/+cX/4MVGme/vzidE+3N
JrFcWibSHxY9JV/GNKTwFeKpNoVZgMY+gSlEzE/Z82Vv9Wxa3ngGGSFyhB0q+ZhPs72XCdqr//wL
/RZc/8Hufqtmw2TI0BZq8qPmokUHWgzBY7iC/15D4uhLjswbfzPkyUCvOiOf5d49J1hp5FTbbmlR
qzTtAe6MP7Y1g3Vz4RhSsv+6u3/7vv178zo+/td92P/8D/z5+2hQ7Dete/PH/3weNf7/j8vv/P9/
8/vf+M+r1/H+q361b//R734H1/3b51Zf3dff/eGAvNyFd8vrHJ5e7aLcb9fHHV7+5f/1h//y+ttV
noN5/esvX3/obqhQ9Mzdd/fL3350/vHXX5hAMp4iwP3b33/G3/7B5Uv89Zer8es//I3Xr9bhAvlf
UkEJ4FQAu1AmLixu//rbT7K/UALoE0vSPE6z/EIkGeB62v71l4T8BbgMKkTCUG6Cx4v1a8fltx/l
f+E4/BIwwfIEl4PKy3/f2e/ez/+8r38ZFv04doOzf/3l92cFyy83hlYEhyI22jzQEP39PkH3dx2I
8v4gGyAWN9/ux1o6YOSTdiwgerj9CQH/EjL+Z/X+9+fhAwnJYzyPN8wc1WS2pyqGT05ukZvmza/r
DqhU8NGfcS/hf/e/P4vwGNtbYBrNyFvJOUTFNMva1h/SJL6ohhNiyqlpk7NMU3PX1816twA7dKVw
HFfNNIsfVMHcxA5bf9ZoIWrAJvrkGjgqE10KorwvetHMH3O4HAN1C2vsewy6kuuLmtK34HdSlzZh
NWYSGzRCCr2rjSHdHl8jqOkUlPfJMypvB4Ec1k3JjctnNLgvQ78SxsB15STLX9EcHw+We3Q8OVqO
vy5b1L42Fw2AfmBZNdZqf0QOQTHXm0JzNa2LLPvFre8k/X/sndeO5UiWZX9lfoAJGoWRfBySVwvX
Kl4I94hwCqPW5Nf3upk5g6wCGugG+mWAecuqCA9X99KO7b32PivVA7qnj3u2bilucInHlzJw0Xgj
VrimvpE0mB9pnDuxj0brWMBhmrOrVxPPDrWH7vOBHTKz38FQVL7pjO03t3HEhk4enJjXg6DpdqM5
5blc5HNpp6oOVWZGxzXW1lMKCXpPLfZ5Tox+Y0X6GMRp/a4VSYa0YDxkFm2Ope2cl5kpOQUw8pu6
bSjj1dozZB/hsmGAGGChhJ8LL6fKhaZzP8WN3AhtVkdt6d5TnH6f2nAulU1a+dLRXNgY59qXWcZF
ApgiUcQyxdxvbM3bjFG57FRsPIiWw8XQHoGaQ8y0zsdpT3YuqkGYF97BaMQYcB7x6ds283URf9/2
ivr2kPEfyeI7+lTtO/CxYMyd0q+STg+lxSc3ZKGHo6s/gN92/lDd1p2U8Wds0FJHO20Ir/A1RbzU
RZe7IZLTLp30B8KXtEvxE1Vm4oWRlTz1IosDLp6/0GzOQmFKg1EG0JE7vcaTZFt1HRid+RCZCki2
EL8yWWyxTmByhn5n6tm3bki1UVH7bvM/2GN2BYf9Vl56Lvr4GNdKBGrk5jUmzVPcSookONGX8ZRE
ateb2pluyXRTe1xI3fkGSzRR08TnzLQmPczYW3bX9PY11ap3gPYapoRrnjnlJ92bf0tgx1DNcLcK
yBK+w4UTib0S/mnyuDdSPrq6XE5Tr8n8wXKvxpLEVzOavyBt3+bYkETcwCGUqdJARhrR8xhD16Fg
gBJ3v9K6KDAcwHQVlf4s41McKSrjW+Nd6R7fQMSFMOLT5VP6FdnWLfjQY0KbToCr4Fs1gnah86lp
8NdACvsxRJ+aAn6xD0mxeEFUTYuv5XnnRwVvVNJ9GPBgy37UOc+TzndaOsV5BPv2Lb3+8mL6Df88
L/6nj81L+hPcuvru//3c/Jej9v+hw1VQZsCJ9J8frfvPdvks/+V4/ftj/j5cnT8gc281KDbHJZ0z
DJF/H67WH5ZEIdYFn8JD/+fz/H24mvofrmdw9kjHcTh2bw08fx+uhvOHND2dc5czwbv9yX/jbLX/
rFT652knhIE759l8Ft3lHDf+9XRVwkgMBdi4y0bNvXN0vNZtsZbFtlyz7D2W/fCBF50fyB2TVfea
yPDt2TI3OqTDvh0N74Do1z95Fv9GODqZ94qkbb4bU+lc11W3XlI76i6ToZsHgovZV5Vq5pUY3YxR
1cZ7Wdi8iVxc+SVoRG/9UvNqDH7XDP2VQ9h4tpwM2zvVivJ7WWrjguSRPxu5mGj10Y1jmZjivmtM
FQ7LWIY9uYVDXLsxFkuUvbK8sDu2mhu96nWSXTL4hpT2YnLrHnYdTskGodz1s6znWelwINpsygzM
zBTkW9wosGMbkackCnAlnkLtbJdWoUUkJjTZuLox3bl4SnsCFCNI23UQQFFeRO4iAe5ZUqmfQa/q
Cwe8dpwxurd2kYxXyxgtLnFKPY293l+qPl5Jnsjy2hhWd4jzTmwcWiEf8zLpDyO4O86SDqc32Ffy
h/kVq3ncNQjJH0QH4NK0cjzGjmERHmnUXZ6b7d6GnQ9uDBO5iH799ArWK5tpVm8ryH+szXbx+9XJ
N1Hb28eWye8lUvV3WfYI1SUWQRrMhZo+9H6OX/sxnt4XHoPPXjREv8VqcURb7lqPPiNCUQY0YTvp
AeW26LapmegfhWdbqW8VWUrb5+rMP1jiNVlbFVnpfemOLHd3i/nkacm8QSp0F6Cc1U1DFHAvXACp
LNhxEzhAs3LuidyCyrM7DsW3WGYuCqMw2HhXCRsJvyrPZsHykGi2m6d84fdiNYXOrOJ8L3NWPqxU
9h+1WZoXlcdxWGhl/zZn8Hmd6w1vzpilrwB9OKeN9mjIrD5lhHy+tTnFp9IzDPVsuEWesniZHyBJ
fiWJ+8O2nehSt2vLL92JTga3l3CYSjv2+6wisBD1Jvkhx6nty8jo85hUrgjTtVuOM8PNXQErSSXf
C4i8SPzJicfzSP3fZ4sgsl8Ma9rjuyXndqnVwc7yjRHP0Z7zBfiB4Jx8gOCp7qZ+AspDbaMIJbE/
EhPAa6PWUXvHKEtf4zpXh1JN04/Ck/rnFEFrJEnBbAYneUJd7ULgvlBJ+yGdRfOIpgV+NeTjZ4YW
82rPZrJrq8H8qMc6BrRlqxNEJ7gCoanUvFgFlmXIX62vcceNwic8EZ/MhENsddr6zp7T7p4Kxfot
YqTvwFT1YW+wxYYVy0Wtthkx0YgtrlkQFZZ4jDWEUVJchXlnmPaMR/KnsYuKbfijIYBritQ5DqBa
IQhBdUE7bZA8M+OOJEYHvjUIktA9btrotPjcTmZzRpNluKgkTsdNlPfid4Ri8tuVC/60tJuLgRVE
jSD1+SKgFCbfYPzXTVh21EAFk9Snl7SFHtsJ6er5zdhXDtWDAP3FQoQEzA8Cj7qbJgmHcrQvRukM
myo39e0QNTwHK6fX7bC2ShwtznB4QkbVdLsyC157VzSr3/Io/nAsg6E3muVShgq7YvUX5tQoHPPJ
BntNJbtXWzJ/5z6dq3eTNZsYv1k8PMzaWP7qCEzMQVTGxg+rtWfbL+su+Zir21IsHogaI2GZOSMF
I8bgfKDKgk8kmum+CN2wr6oRE9iUsZZHDFtT+iiBy4HFCjbF4CzGE0zaqfYVVzODNgoENXCJXbgb
L3fbe70e3ItZLbeH9hRBSqZzmadQ+OW8HQxWLe1cQ591cm6e9iETpE1fVTP3p0V0M0SKxBXdp6lR
s5dN15rrlGessp3n3pw3sUHQOuio9WZjceliPCGpVU+pHEtsDneFP1qitvvS8W+Y1QbJOvAUnrl/
qhNdO4GTwF3BILcbZ0jiBaW/WJ70WNVZYBlq+MA3lKAE6VSysnCYrHSDQZZwQ9HIXOmdHSk/YoEQ
JrNpj76Rc71aslwekLHwPToznb9bTZZvA3PQrnK7JQc7saHn6TXOHzERo7dh8roLUNN3w/6pTzv1
Hq2Z9bH+aseW4895JbeYNN5xsIf5x+KOBMVw3+UPa9BJQsWFWg66jJ0I/T+Xu1iMzuOt9s+9Z5cE
i2ExaKCclNNOeDge30DrJP0O/Jd8g3QWOQU5D98XLTPnE5x0/Kpbadn4Q251Yc2lHU0GduW3cDlV
TG+ae+JYib7hGmpfNCIzjg/rB6xKQ4190LSc9z1btd332s7l89JLdYJ6JmVVIOMw6SdWtezWKKJa
ScTiBTM3uajCxuzAygJMK2WZvdvOyNfs5G5xlORmS1ru0ogLT+J1RzZvNG/UOxTWIUVDqtmiQOqH
W5eZd0Grd+ZZsU7qQzNz6os1veMLtMc4/9VoI2T7TC7hWmoj75g+EvlbVubDiWeo+NRFv7xNuuse
iAou5NacNePZW5oWl4O844pZzcMHE//60NFkQR5GedPOsW3to4HCOhmLq78UZc+hR8RiF6Wl9xqz
4fZFrz2Wi5tz3IUTXmKY9GZxwZSOWr+K+Mny0O3vwLTE6HuAwq/jaC19uMIv/9BUhV1iEHjhPVqb
T3aKWunzVNS+SsLiq+/KP/tAvFKzAiNyGRW8oc8/06Re6502jlm7gZ5n5VKWVuyUzYxCf++x7Z+q
UsczTiy3eBNThAHULpPzmJlZEm+diY6FdiTA4feqUvdeItaEH5c06MHB2D/RRgRnnXHdmPqEDBHX
+yhspzQU2Zp/8buiBmKd3fp16npOgbHnfLfE+qjaBMZUmVXR+nEjbsZgXVYPGugMIZ5G01/rTJlD
sA6UJ43JSu/gHDlOvO9TDNczraLtQkhIxn0Y0a59pzeKzz45RpcGhkqi90jOOUrHPCZko/ipxlpc
vw7dLB/6KfXCvE75vWcsYLgXeUEOZ77JCLprdY/YhvXjhLXG96zrxha91eUdH5MiTpNFnjNUtSaw
OOF4ZdiLs9eyQWxFJQZu56NKN9mqgys5IknwAtvsTgobuzd2S+NzFU71qjUeLISQnX6V7cxPxGOX
11nXZ35CtVWnezHH7icda+ZPKGe+rNjL+ldPzOShu2RJQof1kT9d5tk9za3ea6qnbNpYG42HX29c
FbrPJV/saA41O1932URuipO2VrtCiiL1i4yI9a7KOu8cebN7mkFjvGA1aM8P0zTpfky54v6el535
ndceC8aGzDzakRZ/rb2xgAyTQzgbs3lNXFM/LGvOMf//L43/FUVW2DfV8D+/M/7v8lfSfv6v+/bz
1+8u+acy+9dH/nVzdK0/HMnd0fZsHgjun+Lr3zdHyZ9AhknhmS6b1G9p/v8jy3p/CCldRxfCEahD
//feKIw/AOmAsPjnpGXgTv037o3/ZiIikvIpgJeF56Ehuva/N1BK1qiMgmLYbTvEU/eUDK77zHhT
1qFdefLOcsiUhpqAiCn1udrSh5PRyhjb4T9+bH9rxf/Uhm9xgH+TUPkyQFAYl9Cppen++ZX+w6Nh
ybZMtcUzNhUbU16VuwwAbF50GGP2kA8q9c4UjvsrLkcRwWDW1bB3c0/biIzbBP9XutUEWk2lkuKH
nZBfLhOYT8SZNGUvbWTf6z2ZvhV+JKRAZbgmWUrYJ2vQ/CxYlYekg3BIGeEPLvhUoDXaCr4a59FG
a9UUIvsumxKpiXT3ML2jsztAK9IuIbUX7ySJMiy+Z1AwgI6pFkaSWRxaHnufnFRGMGTWFYZD23M+
2rm/dr35SYdGfrFNOhxRWHM2nbFd5DTLPkiBIb9Ms19/CdXazx4vgh0dBeOxVxMTORGvzM8ShSoZ
T9VX77jdYZBje5dYPRpyJYxQktffSs/q7yF0I8RAY9noPDXyqt5j3CJs8qx+WdgO3sDqcahY+Efv
Yog84vRcIxN2+m4HmIdDVpqRv46mcW6SWNvyV/Qd9yUZVlPS7juU93OsmdNhdG/QwZJvyyVewsZq
hhOZ6BT2zoo39dTUjHF0WQVDU5rbxZnsTQTMTd+X7J/tRq9DL63M0Imb5IkGAPvdWd0ICwn4wKTn
YV935sq31tyvigmgkNp0Yb7KngcW7L5NE2mNDOBnb1iW7reVkW6aikHRXNvxV1Nk7kYWqnywmIeZ
06U2XNiD3B7T2LRCAcBKZcbFSpq9W2ont0lwIWeNaL/u3Dmcu4uvq1gEqw7fXJQGPC3ss6NKb6fY
ZeZ3nbwBVguP/0QLy2hVQQdM08nuniJv6ecJWqgzUMhITUG6N0eqwxlrCS4q1b+nGRufy66vQPfi
PlhKTfty1mbeuGO5XAubMPZt+Qk5C43Or1utQU2S5/Zf8lcM27EDh4zfVgJRzFRiXC6xNaFPJpV4
0Gc0laEY5zu91tagAfALp5WaGcDGOxLKxJiKYd3Vcd8/5Lktd3lurQ9WH5FlWrU0KEzA1REy5V4t
aXkHiRBvTCO1N4QJ5YF+CCuwk4aIXqkbwej09b6imu81L02T36bTEClXVBJ4xbcJXbIRk1c800sB
CQmUFPJv0OmfNHI/zlRqzcQ7D5Xdu7uSm9DGLBePnQ6FEweF5nmbNtbdYCYYHLaxme7bHkxIxYs+
M+dVOuOK29rbgUkfihqO/wpRJUOtnkkllcVS7DPcyeOSMIsP5izvyI2bj+OMT1t217le1503VvbF
raxll+XlGMI1i0vsJnceD5kNptYdukiQJ4SOY70cTqMw059L1SbfRTwPgZeDWQh2GZwXomx3q2M2
aG7C2xNGk8eWhY+XcrL6w8otc6vRtHzX8WUHDXmYx5iU2KdRu+lRZr2976dh+NkimTzyZGbkdar2
h9HgvQgni+AqJR2iNUBiCf0cS3VwLTvAfW5vmZJhWHb22hRTSNITrrmrm2EbJWra2p3n1lc2rE5l
iF6XXQaAyjBptWybxRBeqBskmCLWu2AqtE4fGo1uUruFZsBmbHOS4ZhGr6RBozuLIo81MGyvMnwy
qfyePYgU8sPCHR7IcMncN/Sufe2aeg2UiOI72bdcF0jsXiKTFCLPtGXXLUN5nJYi+ahFOWIFxIhZ
yGro6bPpKVr7pzIODIJx5jmplX10oJGsjVl7vxe6P+JDXZbNZhr68ugSEn63UiLZa1YRlh+paieJ
48hdCWO/Ut7h1d9ppZZ6E61t/+10Lvr7uPbvBcUy+1pWd2WivTXz1O1LTRdUpFCY4eLjr36NP1Tc
KPSe9/9qfQCTS9YbJ3H1TnFzTkqeWd/TJ+cQTeRilqIoD4kRTXn4VwUMmFV+T13HKHZFRLrvILNl
9M51QfT9N8HobngUXJieaAo2521fa/Vnx1vhM4qM8rXKE+1C60uZ+FHFAb0RLZ+t8Nbppc6o/eCQ
iqzXeBzfVeFpp8W15+ikW2SxJbk8Gdg9IOhfbTKs6jCxZlrz8a9KGbbrQA6ni0SNM+xHjkIWBk1O
lmcPfddVB0KL6dMAffOUCJpyQvI4iA1j4TXfcUEYcZOkjnwrm9n8SW5tOfRQgbslHeVJLqP72ysc
VkhGhp7tNVfY5yiz5sTXmql5YguSvJQzP1W6qJ0d10nLtzqtkY8qks1HYcnm0eJp/bQUTbPHYBm3
cRdD4xAWcaVPxGi+mGtk7i07jVFYmV3+rNDsx8l57RI9d+86avuz46gekYfdExn1jluOitG6q6gO
uDA0+lvltenHZGcDlX41sh62ZNybm7Qa7B+SeER5l4GyV5s+RUD3cdT0TS60tvPZnSweRGniWQst
fuCyPb3nbS1eTG0yn6peFEdP0OZvmHN1F+Va/FJKj/Qp/X5wsSP/BLPWlEHTt2OYz+lExYrRn4Rj
QU17rkbwgVWAgu7uoJzWCmR+NrZECbRbcikaX9pZlHhgWQN8Lks1XxdV4IKuBOBMf71BjSgP1bzP
xDSEUxwfoq7C/nK0KazaJXmLjaK7OCYSlJYkAvUc7XnkBxzQJ7Q3CiKUGrcQEPJ5vePGKsO28Tqu
UmQhmcXc3TzT6MFDVRWw5+zE7OdTHXHLpTyKJNDe6UgSHrsqS46MMzhpBgkD4JBIPlPxkRCOrznf
d17miHtWJq+0iXCZVGsluyBrzfaRj9ra2ZLu2mFm53VhlyEGgnOa4m7ZJNUSF8h7bfdeR3L1o8xe
iM0arB+g7YDjyKR1o7E1vxIOy6qqNb4b18Xe9havUStp3bOkyAVnGpM2tbje/U70w9yW78jen/TU
+5nJij7nvR0n0wiAaslY0HzyxXxZbXth15Ck8zK+acnS3GNjZhtTRbkKc0u61xtnv+4WcGw6KJW3
o0KanLPy8l2GV7gHe5A7m2W5IXoLnelUZySBS9bIF0NRb+ZIF8t9N+tGdayq1SbvVdD4aScaCrWZ
Z6dUeep5HKIEMUvXd2Bk+SGjPuh+TBITYr6ult+jURB5iaspe3N7LwpLzSY3SZWHYwYZ9Al2Kgmv
YlMVrkGHR9npWYQIgyv/VzETQG4aoPdPNM5ERby358k60H1Vb2XTYsaTK7pmk9MYzLfqda4S0ziO
8aiF2QSOsPeiqMn3mZuh9BsuqLhY7T3f8hTc0t770RzF19DF5r01GR1zdbfoTzxtEhoLEsjyMJmh
D9o+2hRjNB4VG8hb5cIwKDjNrmCVNCrpebLxk40h1z7XKeq7HfFL7Yjm8dmYmkfu20lQFlcj/z2U
TnyneCpy+vcF/Uqws0RQl2gJlaWXF3a0M71pI+IGIfl7DrjmxEpj6+R5GkEAi6YoC/AdxqKKvtHM
8o0SpnM326nBAO0MJFQn6kfmtNZeNbnyDFnmKJoDry71naqLbuPkdvO4ThJree4N89pGuhek3jp/
YglEDwtP8Z0RazqoMrU46HB5MOTd7/aWDCKT2IR4kTUnJ1vpNXsV8ATTNWoZCtLJPJn8hjbZopzN
KPWK6jPH2kgOGlJOTbYp0si53FiHVzG0WFKy3xJV6XY5QC/cBZebc2vH6kRLiMODxMiHPco8g1uc
GAfdspdbRoVsZF6e8ip/kUYBW+Le9aMLSiASFTSz0rdpUk4HLXU5mdioVjl/4g79epc3TfFzXNrh
rmL6ItQSxeyhVskepHI6OuJLYUL2ZJG3OPEgnPOyNzUr4S61TuGSLMVWcCBRaxIvMB10zOzJGi9B
ZNAmnRzwdY436act45NaU3mJnVicSpfcN5DIpIK1tuswFyP9G3Pxy2XjrfC7cXpm8RNDdBlXgXTR
J28qVYhupx5i7IBD1MbWye0H68EShXsc9XrcAEvQ/qO5NKrxbj8Ny62eyKxawQha6reXoR0g1eYb
bW7zsML2iMik7wjfH+lq2ZFYD4Wb7Ii+8JpeAvylPGTqSI+EqLKgNbL51Bq2Hi6Ss8lfq2o4CKcQ
2wzV148tG96+UK2FzDrvrbTZNzACh9UaXewOLJlYZvkhWguef+PIrzqqKy2ANKB7gED4KYkb7123
a2uHfizeqJuwAq+J82M9r0MoNBFfcs2mxWnyxv06ZsYPklbmm3TW+pEJODv09Ca/qjKqDmZZa49Q
OfajWhvFs9Kmb8AqWyyuPksuCRbMRmdo+ylYBXZwRW1mvtVXv8yksX3N6s/ouyeaee1w0aMvfebs
MxdMT2UHQ6o9g/ETHllG6deI7nttyZ3DbAzeZZKT90T/Sx+W1B4FlWCAHZ3S3NAs4tJFUJ91HDhK
UqpQ6hRIYcKHjl48ZuOsmBPK9hMw0sIyNKOAihaoDNPYkwDTjrqZFpuSlYNUkfXd0fHUo02AzXZL
6RtWe62Mt0afLwOFJCwH2Bq9/FDJdFdOuthTUvZELHmL5/VI5mQfKXE7lmQME4t9xmj41sbee1F4
oTGmny3CRpC3rDFHdiRCMA/F3qP3yueYKc9sqTJ4HbfVwXPVybWTgrYiaz1JRNmNY7v5vlDuzlpU
FSjSevtIL1Nqs/J4xz7wJ92ExHWXcgwM0twh5mGjeHFU8qDbXK5AT9VP08gqQl0O2Sn8EhlmA89I
qr/2SZWZod3n+o4uuGhb4Xqc5py4PiHtbo/GyYWpbDLnnMasGXdnJ1zJ5BzaXOW71DmIITmJwtjT
BErRsEjtl7p2+rNuOeZLmln0ErUY3yA3rK7ZqaIAvlXR4g6Bmw32du3S+lWbvDx0Ta4oq4T8LVav
PhG0HJ/oSblXtk5Sz+bvk2AjlHLsi+Z3OdOrhreiFYi4OiEz3DW9dsMGEHeLxFQfMpcSqcacYaJU
u1xWg9oA6Rj6T5PvD7dgUH3gkKR4HzS3OYxENO/nobS3gGSCRIbnd3Feb8Zm1rdy7IPBjHSeeTh3
UtMfR0psuOHM3vJQ6LQCAiHIdtvbBJ0mFpD706TzoydpRSQPJmnS6EXzob7PBXmKUNZyOjvswzuP
ZnWJUyrDV/EbORhxenWOnvc06wqe3rxn9+Ch6NOvKR5+L2BUpq/XFYO40cy5b8u42XeirbYcmxp7
DfI5zAxN31RaMV0HNdK35WjpnpNrr7DY4dDA5ccQFwUfziv2rlvxhnKKDaftb2ilq1ba3q5z1r2t
iZNNKZ7PrLVtxvFjMKa4DVjdpg4Nx8FTK/QFpCr5GEyDhodKezVTz74D4Ow/2RlU7/lzv1SMLQ4X
iIPZcBtjRNGeZs+8VCZ7brJZD5yqlufGoPMts413HuCgHnpjv5pmIUKNOHDoLuK1cCT9NNJtg5WG
PGbooK1VQHjsNxYbtjJHs+85tDCpwW39pZDfyqEhMkkPBfBaMhXPDQVMvoLBSpuRtAQH+LaIaqqr
zF1eLu9a7Vq8ezS1STFbUj8n/fvEJbvb5lZ6ySKqND3R309tzqiHXX6fdOZLRqIpcGaTaG6uMy+y
wnELeYsL16XbmaVYgZUaOVKesK7zzBpEN4dpUW0WhXYpN9QrblhoWLWBLcajpc6ap5/qKU15O5ZP
lHf4w1geI6/z9mk3XOXq4XF3w+CFQyWK57ip5nev7I8ktzGFuXDgO8172eTzjtUzRrnJ56U6pASE
txpVrQdNJMZedWK8b9Yx/hEr0Qa8Qz+58j+bbR5M90btk8795aBzPZNAqw6C0feQoAxtynk8azBD
0DNy3eqz4+4tI8+4mwx3cYHcMgxV/WriL+1VtgwxiI9rbkQNaVv2I+Uq9VKfDQfFjGtDBC+zyica
5FLoy3W+VKs1o2UasjlImQ1hC7MRlt7MHqSi9D1aovlF6TGlhVG6cSgo8yA5zfRlhF268jrbGMNy
Zrtrd8amW/0q01G9DhTkuBs+tqOyxtIO2LrppjL1JeRzOj/rNer2VKg8eVH2VBhVsnOqrN4Rslav
GvhA2Njt/UDYGWtOx1WmE4Mgv0Z9Pec8czJdBlliEczClyI2PPogNJtldSzCcFpTHtYaLrSZpg+7
gtdYeIofZBpbFygoRQYx0ZCIc1U3PvIN0/I0my4GGlUEwCaydkI74+/R/4UfWbIFhzfFLwepi6Tx
YtyXMpsfsg6PDgwSPdwD9EJJnbfKMOI3mgbVuXOpuytNIlybLs0wZ7Xo1nYXQdLsJvK9Pyg063e9
Mtk4x6TJQKWGsLA4kVMKujO/ZUuCxnNhoXUM3myMz6NcTpTraK/UkRGdrrl6bDpNiGfPttkfTVJV
AdJWRXamrDc+OVEt9mxr1qltiEtenWWBSzkv0rnCn6fEXLtmz4cAnxlpT7msabymXm4fRC+b7y6p
GR0jqztPOPy7UjP1BwMs506TlblrEvbNUbbDAMQKEMGCwYGTd6wL+6yPPVanAsn1DMoIUSnOXntb
x1sY8ZH1XcYzD/7ybpBQMWPc9CXZxabZGTQVNsTrCrpx84b2Ni7/NUefswaL1YzIbM2AElYtRvLp
Sp4XPvFw9WII9zLQ/4eYOZX3WVPJQMzW7wg38ks3RZUQszejX1GeFs+MIR+ZZxO5V+2DMXTPhqfG
cLwJXgPpVCq6a6K5TneCLuDlaiN8ubIc97O2lp+1nTp7l4bAgGSPvhkrOhti5MEwXtR6rw/jHOAj
gB4sjotsRk8gby0LgU7SgFjQcl0BjF3dm3tbN7OzA7F5GZeEtKfRvqWCzBb1TJS5Gba8rn2c0ozQ
NT8s+nhZqRo50860Bwte2zITv7a52MTRM7Wi3sH1buMOWJV0h9NM/QYPvDk7LobznTL+Uxld9KFC
guJJMMPDj8Ot8zenViroVjWHQy/Ks1yj+8FZ72UsvYfEcSmuHnP4tt74WSb4vK0NqDQXzMZtduuH
ozD989aaQ7e098PrhbuXdUJRlO1aVD9RbEwmHIS+iPLsQGOO2HPqcjU2jilT00uWC/tqCF5+9JnF
x2F2tT0XO/Kdbf7Qp1LzZ4yprdP0Z8Gg3rn9yEpUVMnNaKzdQXWldh2X+VYCZD0n7A0LS1Vgr7Sk
NhNNjuFAaHwpqYqmPy/ohXmnrY1+Fo4OEBCx70q4MZdipTyUIfgLOJtHYbS8OdvSoYxvEkcj8p7I
0FmnpCyfdN5Evm5PWzqDvQ3dHM9Vnl0XGmmCRFKTNdOKJPxVCccJaJTW97Js+63BhMOzEGnU2vTe
yDN5chS9xpXZJ6gArcWLeaJzWkgeyMJr65fF0+SvynZQLSmkIVrQrvx67e5Q8TIMl1t9NFdqVW9p
MMgufdJF9+26rkcgEvfien0O0Z692LF8kF3mbQfaImUmTjmFAi5q986yoTRo7HjwmItOKe1RsIlh
WrSv/8HemSw5jpzZ+oUaZQ7AATiWl+BMRjDmaQPLjMjEPM/+9Pdjqa+UJalLpkUvuu2azLQpy0QS
JOD/cM53lgFNyVgxaIUCFDSVBzTiPuzGeK1ZsDy2jl0EllHlD7ao2lODpHo9Rm784gDM22eQB1Fu
dBUgPwW1yfTWTVzLjQcQZlf0kPCQWLFruommOD2mPGvfijlMwiD3asruHoTganB4AqLSOZsDwrZV
Iwv4g3V/jDCcr2ezPaCYqcqVdKDbACqkGkyoFlapt3CcFHmI/R/7CSNHt9zZTeHzNarCehFNLK8F
EN5tNefld3DsPc8PVJEzf2l6BBT13CtGVLlhbSvebzf+gtcjMMB5fuqMwozzcLpPJj2igy2zeOVD
YnkjHQfNeliA5Oan/IJaawxmZuzxOhvi7sJ7oWv41DL/cGd//MRBTV/H0MAfWQplmQMp7mqmYHor
hxen75LLiKwyWi0ZXwI7pim+DYFDLCuNVC1nkmD7T7npdod4rjSvq1aM75PwnOeBoE/Aeh5zqjJy
qpJJppSQ0Corv0RYyzGd5rMP1TG6Jsl54DpqZFte8jzkU3tgHUUZVw5WsqWjlnuPXBu9cqsaN4AH
yBTo2jS+pV75idrRwAPff9KWG4DYE9CBorE+cwo+Fm4IB+eVkTIS6QahTqPVJ7wpKv63hqHT3Sxu
FVNSCucNFi/PEv9ZdDeG7XbfgdQlkAbIf97Ww+h8pRTkW2gh7kGFkXvDlnVG34wyxBnZCbfu1G/r
JHfuB1fyRou9iB9K4/HtDbFr7w0jbNk/gZeCgutfJ13lilJx/MHdIcC6nyF0mGmyF3P74KK7ptIM
TULupWMEaZjmN73hzo9M1uItlP5A69FHTm00Rb+CKeUmPH7pGK09YLNrzwyd7xVc03GDorg5dgDd
n63eN9cWU9k99DH7kk9G1gVeqPAbQMIM7AaDzijNQABO4uCbky0bxR2qP6DtWn0rYxCICvjSHT98
gvYMfzhUVmVdxBh/8zsmeit0fvlqmMZ3WWPh72TUbDKp7+CJYb+tCx+CAbqkEBxZ4PaFXjfLW52Q
siialW1VCK+9ij/fmM8RCs1xyVqQf0q/wP8R6zmq2s2QDtN6nk0P4V57hKtA1+Hpdk8XGG872wgf
hhpMize4H3PYx8smLVWDMXxsb1LF8IvwJe9BZiFJBynABbwdWMziOA3vp3JKtj3CxfcQDSkhB06Q
+aG8lG1bvJQJZweBaGLl+X5yj+jP3o1Az4ugRRhKFAEHgybjJvTRJ4YjXUeWpk/xIPoHz2Lhs7GK
JML3YYnk5PgLJUGkpLmObM5kJ/OCUNvz47xk5h7q/7iTs0+DBhSADSK434rVqT16m+tJ7dF4bDwf
LXaNIGCFD1m8zEPdruahW5imoG9lMWuuUyISNoAnn+jMqFJwd+1UVds3SItIKVryBP+K9cH+LTxR
iKTnnGoyKBoamiUp3JNT86odU0TJiFDHmzyNnVfP0BtQ1NM2Texl3/W9t8/quj3V2ky22dCJhxhf
ObEJnIOrvp6g+1O1NLu+nMLHeJzdW8aVfJSUpaDXlPLEatq8464CVnHlUt+Y4eAEbNfKeQXAwUJG
UZMJD40ZifdSFvmO7Qs9IFu3+QjJOgGiq/n1MEt9irQcLvZQ3xmRXpdM824a2MsHwE6pv4L2Vp0i
IhTEqhHgFdesVSD810Rw+br62UwuYsPJZaVCIMLwlSMd2PZGHu7tCCn5qupqa2dSKJzAVuzzYum/
ZYhQzQ3hOpO3ipwyeeH7/VisJt3NDBE4utirr0AR0rbN4dpNuzcBRnkXywTUGygxp11JxnQMd9jf
ibWUNpwcbQ/uZspcVoqtOZ4WPbuBasrhvV/s5S5dOB/rxktXPdARMqaqk1c6XbeqXYfDhp059X+z
xMlDD4ODcXEKPM2OeEP3lbhj1wDDhN9vAVbMzJ3sSxtF8tT5rffFBs4/O4N5TBCN1Sv6bQisypra
knehmYNjw2dlsJC9VGbTXkHbJr8K01iLzK4/JpRuC0q/KxR0ht944iyIP5mB0nlYjX2JsINsEAYB
8VNlcWHxP0O0K+HrdrMUp6gA6YGjggWT4TSYaY33EP7bhw+oyQ3cahQnps+cNmPqpJ8hw0raBKB3
O3sy0z2aHcTy1dC8Mhh6T2L9fZr9nGPcbZ9tCyRQ0jgATjhOkzd4f/q1X0gx4C0klv3UUqfTa3R0
UyJHHUDPso58VORZNpf3aik0imvlXvqi8DZWnU974Gujxgam+q3ZRZXcljWgpGiC0zfRifaQx7HS
/97gZIwlEIG392y80NQmlckUI+rmvTIAUevYUDujma37Sorx7BlsXnveRw+IPIxAM+lfU7TPdzkq
4r3Vk8kd96X93GR9htYB1QrbHoGYw5Djrhuu83Eja83bFN8a4M62UCy8AGVNbbauEgcxkRdxEiTl
wqB9TAhxMScQ8/CLzoIwjaAvLUQ+pQamBXLNS9du4wJj9bqfqZkQAVCFDT6dFDlDm+V6Y9nmk8ds
P0iECYGLt+mG/W5xNnLrzhlLvb0ib1eWo71bQEIk2CTz/H3MbZiYiE3VvWT5jefS0f6tSMzigSWt
/2gZcr5jge1+t1RcnozFZa9WivGYtpD1gyjKYcJUsXqUC1tGMCVvHXPoa3pLq29QamdblDTtjqMU
vQtIrstgFQ9I8LLzTM21T6EYreWkXpqijQnQaBJKSTWnzw16nbsJ0e+8EoNMX3BusCMwlEbclIzE
Ntj6BhBrGZRZOF7BN96hi7NdXEzx0SmIKAD0p46p49zWYUZoil2ofVkt5YFZBiaJpC54IubpCDBG
3+u0Zb7Zel5B8Msi3sKyRfVBXsir4doPqg2f/bme7uI2KtdeSBeXtR1elsmJ18Wc3sfsCRPUUHup
PJ4f319OS1ozec3n8jarxjYo2+xgU87elwDP9hNN1NlfCtIGaJ7sm9rzqz1zv0/V1U9SLKcoYmGk
DOdYNgVLG6GiYZ+Gs3iLAUBtO8yoO0fK4tkcPF5cPTvpQ5mWR7NyhxMzATQh0pnXiWk1LzlAzxsF
wWBFmwwUp2VRTUCIC5wdvVITNHDqtlETpXvLSJB1VLDv8UGCust6BgDzsOD1qSP2srEU+T2vaWjN
rOTnDSdHtWUnKU74DX7Urcmsp4uwByUTo72cVeQt7y0nQP+1HNETQIbzo/lp7KP5VpXhtPcHpR+Q
WOYbhOiMpHyzfGgoLh5IqLQ2UVzU70s+prCRh3k8zYUA7e2b6qc72+HL2GU4ajRNKRPpsMl48jWQ
f6KIX8skX9Z1UjE1iCsDS7SVbRwQYYd0cqpDEXs4fRM3ubXxmuwhc4Lh9ie7v2M2EH/mWE9A49Yl
cEsGkcgdTPe0uJ18M7Np5n2mO6aGs3Ma9EIA9ZLNObqthH2CI/3PJvQl5D0z+mRISA2RXkdRdpPe
JzThBY3A4BxV/3YdBb2KEFXWimyY/l0jA39hupG8o0/TF2Yb9ibyQ4PEMj/9ERtYdBZw9IcprPKn
MA3jDWsB2ntY/NgHau/x6t/fxUPjBJZy44cxYn0e1HLIj32cZj/hW46PJccri5klvDR+4zhoJ/Ji
X/QprjVCZY5DYdvbpuOsoXkuxV2eL9jP2sa9YWWVb1QF8pmfvOwubAzkYzHQgONXyR6zyviedi1B
ly3nJ4j3IzlKWI5sp71EzWx+c8qRsWLGM7MqK6x/0ktwEtfwpvuGUKAuA+bGeGZ8gEVGAWhNQ7vO
yY7e6pZBRp36U1D7lvnTSlV4QqFDYiEsvZa+NhziO5fiABjkHB6LiudwapvimoRAxNPkMS1gG2U9
TFUXPqS+X20ihABPZZg8crpS8zj00hy/9r4tPI9dWpyduiyfn90pxgrWQ3eRRg7/wqKsXVMjZ69+
Wi8Mo40wfhslYUhIztOJsQPzbRha7IUMQsS2HliGU2e5+ltZJ+5OxWzvOgT+gU/LGQD/47hi1/fI
NIwcCMe7qvuus/daDN1PxDVLoKrIedQw7g54eXLIYQvGcSvxj3U2ucw02MTwqDb4RECWkJuEhZO9
qkF0EWNzfpZssIv5FjTLfaHNHmUcRIEBZ+QWNRk1Z5QYu5LVzWM3ApOPxs7ZC0lsVNARXOPQVC7q
p4Z0z0mhy+cs5h5gGrG3Se5Cvh2n8LZNh/aC5Ts7xji5aOERCuKIkYpbbv7ghWPcjOHS9RuX6CRj
5eQ576D/QCuWplcI+jYeJ8cMclX9cJoq3MxOmL/n/YIbPkEy/AxkIdw7qK/uxjJMQXx34y2cToES
qUQMm42kRMQSg+F/i1z+f5J72pU+fuf/Wgl/+tF+y/9onv7LH/mredrmrYrZGZuOcr1rpt9fzdOK
pbISrulcwSRXpfv/k8Bbv3lCAR5hGYFaj1Stv4rg1W8M7SlAME/zd3k4rP8dFbzl/j2/g87OdUxH
WEIgPrddPuuvgCBQD8aUZSZWYCKxXcQ+E4AFFytcjJv7XKa83UMxWCfX1tVeFHZ/wCmToY8s/Pom
zoz+VU5SIItScfrm1i22JyHK6kCTTyQKa13lQerqS17wo7rAYIOPNSLSSxBhNNWn1M7AZMbzWwgf
7tAGA5lT6N54Mtgl6RjcQs+SiDgNaDts+qRw1+T5kM9SO/DG1ahcmyVq2k6rPmfjvlooMMsTMwDv
GX9mmrHnjuezo0V40l3TDkcVC/e10ZP1GnqWekIsMF0q3dcxwZ8dJLpSREfkp9RpSRZ3UBZxtnBk
Zfq2K4kXXOWGQDwzylKOR5oKbGdTG7bG0YUd+ChYDjlbppwJyWqLZvSAfhqT3wQCtFzjMJ/DS+xh
lN04sSZNHtEmm5WumfLp4o6F150tV1LiWqFkPVVXGW67ODVBUQ9e1IogSYuazm6uztZgJN1GJEt7
rpZUOHtwGdjCXGKmUCcwyHqctIUlKszI7Nj2/Zz3QZn0aDoQuGOgg4WYfWYGMR+HBYARcrUu4wJs
ZtSbSLr0ksGz3PPNyCdBHNB+CcPlNqwW/86CZgPYz0/bedN16G8s22bgrlMmjDs3arNj3cLsw5jU
zrjWM+8+a4T7KWYk6JvBHRz2IsPMrVGR0sVqStGQDE6H5mBIhldFITBuJ5x+ClM9vlsWdl5zSouh
fJRoLfBKkaYBI7w3jekgZ6YhmHDhHMaKK7DRF2OxGQbbfkBcWu0dQPL3XYEeYzUSrPtpiphDhtic
hQRB35pu03yMTz45WesI1v0PWcY0pKF20NSFoz9zC0LtH+RopGj70T+F68Gb2FuXpvvReIM9rApI
o1kwab+YA7eQtdxOmFKd/cISIyThgMHbmtGZZkY+YmNtyihuiXlwu2OnNJt6WSv6ikZhBGPR3Q4/
XVPPRIBqpwzpRRhEBrjrJpyc6qppxmeTbpE+hPfo27Go1QsKgmzmg62m2Mc+vEBaxqpl9e25YdT+
dfUhiIMqAOGVoUNx4OZphdJjkjErcZ7o4pHpj1p33qCY5rNKQFJ/5dOkLzW9DEGEBFUM7eRRA7to
FITVMPHy3H1ORZ7uBUq6F1IAxU6Wi954idRnmKpwXGPgpjSDYUPc+8QsemF1i4CUrvGlndBbjZ29
N51xQkRu93V6lMx/HqM43fR5t4xIB6lJDwUlFNuj1LkRw1Xm1FNcTVzAjiVLGiOpv6OP02drNEc/
YBZP6CP642x5cSShA0GzLKPAeE79l21HsrxaWJZjCgatSDNIJmgiH6ahdL9nOU6NNSDmJj5MC2FZ
l4RcnyUweWSGre/UrlhPCncEXhe/t9UBKP2gGUUMi74xDCN9YVbrseiye8aewyyXCZ5lbA3Y8vqF
1zygk5iDPILRu2W82Xyr5vpUMl/cwFNfs7duVvCr7KB2Bhlg4eTTrv7DARYjhnpg4FjM9V1njf2O
DXO2/W85tv/XoVEwpcGy+6/P9v/Tdd+KX81tf/kDfznZffc3YdoW/R62LfdX5pjyf8Pyxt/tYrqR
gMk48//zZId9AhHF4eR2+cPgu/G9cZBemWOW/M208LYpF4y2Y3um+e+c7O7vNMy/cVGAjQmB885k
5+t7kmtRXvx6slexN4nY4BkLY82pLoBcmZvBxPm/ExUuCmpknd8pUphj5Ne2KgM0hz0j6D5FhBn3
3ghmiHOrXWu03dsSvpVDgKEzVKxnhzDBmCVxdfntuLFMU14BeehdDFr0o3RIM2Ubo5BR+iNojZLM
HQeLKzZu656YaoamKKOYHBvlebb85NBFIYIzSz4qWXcBd3DZidps1xUK8RtEvFtovZz+E3l9rn30
iiLw6mFY65bQUXT35cq6dhu6VdXWYzvMUQtFy3ZQTlaNfxNGhnk7Gl20o6T4KM0kOS0WqKgU3TLu
hs7fVo79RZfkBBOBi0i8yTWr4ar0naNXwxwuB0TG/b32/emYJSL+8ht3DPLF7I6l2X/zZkPthSfa
bTrU4DlJkrxRifsjxHx72zfzlx4oC8S80PunBvwTD8GG/s6Q/WBE9rovwte5sU+Mvs/QYtb9MhwL
ae6SWGCA8BrjU1Zq2oaz/ZXn9a6TuOCucRtDvlSBNdlPkc8mmG03ZUWGjrgAnoTgJ30liGze9J73
5qbinGIfhi2xnjoihxNO4I0fNaBeBmM8mddoJ6sxj0WBFX5J5A4bGBPFvL/L2hqVkZ67YiMxJBI0
JuGwAR4tWlfcA/SwLsvgIBmH0v4B8QLzTeWO0acVuogSkUbdZYNNt2RO8rNtB2OXD426FEXknfAj
LT9bv6e6ITitYSQ96xPy4encxtlFmHXyU7YT2r9rhpaJcXpVdMATnCTvv+psYDyoUGY2/jFD5Rxg
3af91UZrX5jEhfRR6o6oUQoeVz+ouLrPPLEzosm707ATDs6YJyDre6pUkYXWHTaoZp04y2fupDNv
6PyjsIfxpvPcg2HlWkDy6LIHzyM9yUNmfJoFtvfGRaSd1hNiIdIAKk7AU595F9OQzkMfdZ159jyC
oFBWlCZwDjLP0V9B2x+2fcFgD9j/FKF09HOQHOnIh8UPLnnuUhdKXICOocg3UocF4oOEnLSAc8Z6
aJXyWfTYRYeUIrFLRPgw4AGfk19IYcSiDTyMp5YI7WycuKzfqtBbh2TFoeRJTebzg1HGALeiFomL
IZOi3w+ES/QBIKUOZ2hGdMkrEn4iQXmeVa/XGRwixq2iUoE1qpJeMmY+jmsQleEJYEg+bRWiaczl
LJYU2qKGUVHm5EZFyEGifa6LDGQrOiIXgoh1s8v0Ifydsk4604asL1Z/0Sgc/ONg20mec9hfbHo2
S/E2LAzVfVXWGBeoYBW+QJPIUlqOxnc+hBUtr+XEE+P3Kcv5qAXHQ+kAcgkvaVztUU7nyJVHg+US
c6NrLEyVY+NlVsLNIleFekBuBv4Zz1kqeEKIJFlZCbqdLC2Lxw6X4o8pbIiST+JpIlsA4UF251Zp
kW6BApRqU/S4SG7jrOTbZ+ET76JxxpdCFUINL1yl7TXM8zrdFUPsmQf8BH3+2bTGkGx9j2DhwCpU
iFFnNJl3+ESxgUaKH/xSiw0SDS441NkasdvIB61jbzgs4dxSMaKxIm3k6BJB9pEBwLgpsb1+m0DV
EkIZz83NAKOYZazS6aGYGaYoVq5O3FE4ud1T2ntPcT+/qZK+qiub5V05U4OMJs7v7dTktZdE2EFB
Kj1SgVdE6nTqPbIaBkd2L/WHKfTX5A64FsRQvhCUs679cm10KTAItK8nmBmkSLu9MB0CyOdpLM59
O2b2zjdC7igS+avSH2bLKqccuoBNMjcAlcJhF5FlSEiKh8hhYxEPMJ14a7+MPbFVkGab/jElQNF+
IGR3DLe556FWwBPKvKiESbEgFpgfnByvwT6XeDRHgRfzEQRI/IWaj/yOKSm6eK1amTy1BDuOH0z7
YO9ok5UrY5Wko96M4PEn2bJnZvl9Zo+qVoxhSL5UiHUwI9V6a8IbZIfUjXd9vyQXaSBdGu15vlH2
cL8QI3EIYze9V4xDmTgzBDK08Fic5fM7UQz1fW1ADFuNGLKfOk2oHUSYIr8b/ar6XtLD7YdMT4eQ
ltBYTQS1fnMJZL4HooS0goX3Ze6LkemVmarvEcOs1zzBF4Uf1cF229oDMZtQnNRPlevmXC/D9DNk
YDTgwKi8/AnPGZMqz8AuZ9luHG88gsnyn4ly6XpSIxa32Ti6D1Vluq/wtdMdjDHL2/oSGeDZxPrG
W4HIbaP026cqamrYmsQS/7A8Vf0csVu9TY2Fp6WRcBddp8Bjw96GSTv5ps0FXLd9AyPMKG7QAson
5P5NcS7rWWUIdivpomwzxnTji1i9eVVEljuAiHmX1mFlHV0zk18VaP57N6N7F4QknWlrE5O1a+g9
563pfOiBEyRZeKuuvGKJ3tzRQEg3mxHu4CVHeomhfK0sOpiQjffGjBwTv4AFqgy8zoj3gDWFM0zk
QyMearOtYlfeINhfJA5oX3eQr0zjliUHK00IKiyR3CjXKLMNPHRX3UdJbOXYkLzcClzziAOWfBPn
gLw60jMIcbDtzrlv0zF/K7qIH10VRfbVJTGG9hoVFA4+vyQ1BznG0IeYTCyjZbwI5osfJvK4e9a0
xnJxXBQH9wZxUiwqq5QBpcG2WwH48ci9qJmPRutpyiN6PCObIEMqRvC7qPWd6JyUhrsEYzmN9yYC
0+goa+2IM1lYGnkc2HzF3qF68OlRsBWnxjI8hE3i1C8hJrsZZxpCzpSlKslKmzLjkSdI2sdhhdE1
A+qwm/rGfwrnwr0nm2NiJRLy3ncRCO8Nqe2976h5XVuJBbLEKi62ZpTOXk7tcIij91nYH68NQkbP
XSgV2XJIIE4JfV4T1AgVJ34QY0s4pduAqlwqygdb3BLthbCqDR8ED3zQdkm46V02oF1ej2/KHJoT
OLfoOe2aPsgIYUFeVrvRk3QiHNpUNyXfcIWCdlFNfWb9oLKdLWXq79ETKb7Wuiftj4gu2d9Z2NAu
CmcZHpLYfpZTPze7PDGmEIZAxmu56F03Q+2dFgfQffbzYo4JXzNpDdHGX4bhcbbTqT6Yi2L8a+no
i2OOlyXkHfZ1BBLY0T5PRLgx6T++1Wbhnxa2R3daVneNZ847UNOYnfyaMMVSO2dcaoo4FefUaIet
tNU/AbPNzFVShkzCHP2NAyN9hLCXf9VDDXova8xmO9lGhvC0hfdJK9N8RRGIpapyQgh+YtoTtcUB
Vc+xhwYsaVNzIxgwbRvbuy54EOO3OwRoUXjjxHjxO1Jn/dU0Y53MMJsEkICqT9JlPnvwvjaCwKQA
sCAshxQhO8efx+YpTf8Ftvs6q/yzjofe6teOx8bKICpsmcR+5gyKbKdrjyXxHE+/9ID/BNnxzy4D
y8R3CZTxPDxKf7zMqIuyIt5sOkBgQ1yGuzFlztAwqvvz61x5+H/8ONfv15SotOgI6ef+eB3TN6we
LSKZmEM5fEuvJ7zbazqCaCGuN5iNLPmRjyxCVrIvLPUvrm5d79bfX96zbY/QTo/u9u8/JjTczMA2
3R9km9RbRJn9o6UKdwswQ/Mj7fJ71aAfziAHvGdLxQ6DamIU/pOmupC/lxkQtPJr4VG61P16vpu9
qjq4dsPORDBq+T0/lpWvMSX5pSOwNFtVHjOzmmxuFBn++c/v5z9+IDphASDUF6aygL788X5qrCYe
9Mj6oImaQfCYJUhSxyohzA6IiM8ZH+XKPvy7F7WFK6RpKipT17sSUn/9TbaABeTI+oWLRvpsg5fO
ip7FYHRMvKVhr/DX6cQ/+WVeW/o/fmVcDKYqH5C/SUrrjxdjKmYR1Vf0h4lQlY3TWl9zZmwLMff/
4lP94yPAwoIyRDko86XtXP/7L8gajNRmXTVJScoCFuyLNOuQg7M0nWH/55/I/McvzSYzhS6SMtES
jvd3X1qUEXfmaCc/9JJNcjxcUc7DHEdgqnx7WJPaY3U7n92hz5E3dZdsGmx5h/M+4CCKv5j4Uf3V
JgpCRK+h3s+/14ft77Xin/9T/+GemKbFTws0msltca6g+V/vSWRIsskqlRyyOBbeoVZDfzdXM83S
v30dm8fecdjccJnrdurX67hN3DVRNMSHMqQZWLdIysh2DPP8LxT5/89LfvrzMALbt3hu/vrYXdMO
/pBEsErib+2vQ8G//IH/JF6p32zBgyEw1fHq/oWVrOzfeJFfF3YWoCdWbvzS/zYUdCzBnu86rHMt
9n2/DgX5EwS9EjB3nQn+e9Arll/8OP72hvCgZrFzxIgqiQZgQOj83RuiGd28g0tj72oWCU9pJPV6
WOLyOHv45Eba493YFO8x02Yk9kq9J4zazmwkB5oN/k/uShAh5EHK7DWN4wSuinZvTL/0wgPJODEG
QvJqqQ9a13219IRKbSLf7RzCcWNm1WMSyvwFIiQ2u1cfys5PDWn0NSb8kyrD5lUCbX6+Q7FDJGsn
jEA2xAji3bOOcztaD0M3NSfZldWR0RsnBxuFQ0SO67w2LeMqN9KWPNV9l57S3Lc7al5ZPjES0+LA
i8Q4iZQLBY5MR2SYLsM/iKDhM9UzWVKO4Zxcvxo/iLxBwJoaBNgGjbckL+RYi2cIexMCfzvi77Yr
fHyQCbBtUvlbX/718YONUlTHtiM8E6JXdqutlCTQtBuSsyhS0l7bykdXVXlUQgin23uD/Z7PLixZ
7n3ecluavfKmVJIeRCBqzxhaOAXCHsaBP1HRGw/Ei4f0/Ek4URQ6BWIFA4EilvaluY3nK4arEaqo
t6EnURlGMfbuTi/LwUW4g9wcEx8zE/owLOg20m+vOlMiOYfUNJGXFpKQ1AJh6d4aHIwZs/0z7q+M
GzfGAAXRSLb71MjodiqfVUww94JvNx5860qeRyjaIZVB1lt6m6UX9bbzTIQ1lfC2o223X0ufM01K
O/r7gZbvE1b+9G72o3tkMhKdGEtU91jTrecJa/UNeQSpgyJDeMbWqUVqbGacgdgZJWrDwEtd54im
btkjVffR+5T1BpoZHbhTyeLIONg7yzIlU7nvGVE6NaNG1twbk+XjB56W/KkoHcYaQhKrXllY5xJt
wGxQ1HoWrkx0ymy64gs7H1TQXqb6G6dV9tlpsFgK07DgLYb41YeOFeuqnLilpCUiQDcNH61SNNBt
Zf44n0PAcoXQ4YffltnRyKR895DKnWi9831ktRa3qTL923bgRq0crwTPQ6K6UwUshq4oSp9uHHcA
7lQGDuxdV6rT9qFj3oRyye2sTbKM7YNRYVBUS7oRU2Ksnbr5qMHsAJGrijVaeeOlkUCBW786inkw
tt4QVmtnkZc+w0jDJmNb+Fg0wla+hnGyKQar21aV18Kc8+Iz0PUJ8XDzCQOmuS3c9rFp659+Ql4A
OQlE5g7E2TGz77WcLgUDF8+pZcCulfhky8WD5Q7FJXQwhDPWRz+7nYjyK9cNlANAJDMc76rTuxkS
ZM9wHIFX6zbBJGwqa1nErAl1X5wRubswstX4zIyrvDFETOsDz2OXy34Y7nuXMgvebd6qlRZGPK0i
Y1YfA3Zo1L6qN/CK9FH8ibFGiDVvExAgldC9f2QDG8c7e+DmYKXKjZk9x8Q/kj/kiFVlRz0AC6LD
DeAbPbG/k/KyL2aurPhMEuQVTDt+Fv28I91X7sQoBVPyxjyYLS66cYJWUkRgo1YReNlnj1sbDD3R
jVNNBC9Ri0W7xlmPMFnkmArKtB+2iBb0DVJZ8ajSVn/AWnZt5pHteCIKHhqBF2Z3oaXCLVnyyc8a
826Pc8jBoaB7sWwnJHUbcHvTDK/H44G3x+G9xi2xbzJ3giuhs4RlfkIfVmURNI/OA0nvCpewZj/Z
w0ho36TFeDFsFzysIQF8BauPTS7L8VHkZvtm5EPGBoaOZ22lWJy6gV6L+9/dpakgXMRGOPc9wqCD
ys7f68g5IV5bzr3I8rfWijrkmfN+0JnxSC+agdlT2cOSNMCyOqEvlpEVO1WW9l1TnuukPzAWWSAY
wjKErDg+s6kat+QCQhZMZ6854M0ybkVXivpEXMZymeo2P9Olk+2SEUh6JDH7PWRj++4ZWfbSJEN1
w23O7otMy48eU3KGfV7M+FYx/l6iGFdtPC4MEq1Id+ACICNNikiSDps7rAdd6vUUDslG+sMpX7QM
Yj06zcoYCWY3Rna2Pp37o56yfJvrQj+GuicOC4VC9qogem2Wmpi4IpYsscC9Yk3JdR10bpp+NVk8
HOBM8CUVBFc/5jLiV3a9tgez/K4n/W57JSvvLbNGyDDFy84NI159uK6WwC7zklBac+5nDtLSOHtI
ua9O23w3Thz3dduQeGy6W9xs0wPQ4ivu3YiqHaql7OBrcm6ISKmDJAzzV6Mc9DPkIOusieDKVibc
m2Mt0UsH17iCQyTsLwg22VqYU/bdiVWTbTRW4ucZDyM50pQe5dpvWu881yq9sWBMM5fi3Qrh4Zvd
AXGAbJPeprKNLjYC16viIoyQIU9+9kGaKZmOWSxsY7NEsHgRxZm0NE2inyqL4o1pF1t+0bUupLVs
fJ5T8+v/sncmy3Ej2bb9lWdvjjR0juaZ3Un0ZAQZDHYiNYGJIonWAUfrAL7+LSirbilVebNuzWuS
lpkSGYEIwP34OXuv3UBXn/dphILHj3EB+WEbfxDFGe9KD/URCdpYF8jTw73s6nBEVefYz2iw9SNa
Q/0tGv2URdceMn8V5CaDCT8T6smHm/1ROPSTeoeWlExSRgays16TzLa9Q5PhBOhoSCG/C3djDJkP
KUd2PaO5fwmjmBST9sCjFRxrkBlbacMWGIz4UNbWgznzPU9Zpa8nEj/p89crk0jPddDrGTWymuyH
vOEhOQAxF8exzLyHAa32ymh7m/CVsAPWmVF0YARo35A93NLV5Isie+3KVobY18A57RVThmxTpFmx
KYWtL3HEPd1PJlurhBel2FOeGKUUOwsGxzooreau8N3xKVck3Xt5KFZ5UXq0AgushZUwHuFgbJE2
pHQ27eCiWyFvGzAN9IPS7Is1TfbV0Mh+2wylei+bLMd23ZYMf4byMPpl+OI5cjovyrD3obXHHUpu
VBLa86YH2vH1ARwrhYndHlCsJKek6kHmDUn9NSzb+Tiiz/6En2+tVSTOym7SowS+dV0yt3xD9PLD
xhfY0XpEWIK6dTDSY0G+r0slmY+fUYRuZMb3k25GaXi32NNZSJBSvcmhsaFVtGTcE1q/11Knd95E
HWXFUbjzOwtzcearGxihzDHTklFj5DIkaMd36c1gSVV9S2JIB/5BtZvJMigHOvJ4oOPkJ9zWRNH2
+kTRmW6ysHTPxWCDMlEs60Q3uDhL873pp6epS95osb8rKzwDhWh3suqY27tx6t9XSkFuqJVp7ZLa
OLImyh4bPnwxWbOurqppLNO1qfuMMiKs56PvkSALo9O4D8zJMV+1mgP/eohasJGeCvnuq8L9pMiq
+j1OU+uZTarejxqTmC90XF/Psqb2a4I8fMe+bFmoidmNWneAHlAIn8SLfr4xW+MmtzJxTzE5XWeg
wleO2WLEb9KQam4BOgR0XRnCx1YbrTSm1kdw9PFBtihiy6UPqLvs6KCuuWVFIE+qjuXJi+2hWUlo
ly/QQ5yTLUmlWlNnzrdNF6D6VyY5zgWV9QNRUM2J55W+g4XMZtfU03DJjRoE9+Tj0HUNC8W08srZ
JoLeNZl2w4DA3VoWDzP8U9gt0CBfcZnKk9PmuIuBuohbp6JCyfMagTnFqrRXSexVdxjMhbduZUvk
F9lGKYzHuiH6JJ5NptJ5pJIvZp4wiVCqwydpugapJpQYEEuvqryQt8w3vWLTtfLGHjz/EsSm61CA
ObgxM1AB78GUWm/xkkzgYRd+xWnaXzHrxUSFDxIGjoyTPMG9QwMEPFXghDR9R2ZuFX45AI8aNePU
JOQuMJXdjnT1Vn5XBTu3FvsQGNsGmynWGQMXACEMUbNn1fqGxLmD3kvufRK4yb4I0H6MabdP7PiO
Ke5nTevkEJWVcTVmEdg7XCok0Rxckd6iKglXg6fkpmBI+mDqxsAS1QCMEgVRambkgPHP98ZyxMAb
cuCDmNe62pUVtSHv5BqG8KfJTGmTxsbB9kbIxTkFN0fkHFZ6aGzCKvkSNhpQRxI/dgk+XKuInwzK
jhXHQczhWXfmdI6OUpPmYLf1RoL2cVKoEBxG3piHnHKRbYi1X7KmyRn2zfhrV9nHGC/4ivYwIaco
2TazrifyHUir8XOJHVDDvWe8Mm+ilMwRgBSMDHADbNIBdqQXIknQRbOThb0xi/Ebk7gNgL9Dt6Rp
oAE4z/hK7rQjq62XmDPE3dndK/D8OHVCa6X11DARDW3nOivb+D5SjBrcCKtHXA/9tjZ70lfcdNHC
K4jBM0BXilIDRdwIv51BobCidVDkk4MjpA+WTAKkfh5+8hSGGp9v0ECXzEeDyY3jDgfX8KPn3rL7
lzYrMVklScGBJevgUYzt5KvNbA/DpTAzmWy9WIXPZC+M3/AkRseWCHFxaCK1oqARLwxmQXF2hghh
spI9PkKSstJ7T8Ujrm3HIRd+NMcVG4f5JSa6+KEzY4UkqHE9lBd50V77vt9RgwZtw5I3qC+u2z04
jD73Zhc8dl0ujiwwDKxSFRzGov4Gs9dBZLFIAeD348sPgS2Zw4c99YlNdWoGt3HvoL2ZIzSpiamK
1wkV9qL3RyNaNdHwlScrXTO6QhAgZQJ5fvT248RWLZjWXdlJGIOTsQltCegSrILEIlLJbtTRilnz
WYVM/RyLvHitijDdp6RJlVt0uv5TQOHi4gSSxQiMEUTQj57Sf7pv/6L7Zpl0UX2XWcf/3IHbfBRJ
+nMH7h8/9A/RvRMuPTbm63/rtf1NdO8tmZ8OtHVabU5gB9Y/unABmZ8+3WbPQrtnevZPXbjgNxfx
JX11j+YZv9H+d6R5SzvvD004Dpgkjro0rB2XNlzwy2AnLYWChGfXeyJ6WNNgw3aP/RJSlQzdcHZG
/dgbjXFfOh2YI0CGivEfhlChLOwdQmfFK2S84RsmxPQqysN+S4tN4JwnKMJyuw6XSSouo4cOgl8P
XotZ4x2pEcVH5nlvGq0Edhn48TXnIPYEhooq1NEjux2mRpw4Xxy6KDCSOBrR6sDdGOX53VTBv6uK
AdsffLvR8fSzk3kmbHUGNnESkgKfd9VDVYUvo5HRANBEnZY5OG/PMPQe9zNmbttON22Lrbuf6gfM
BMk2aTG7OaoL7xXzrE3fd/WDuwRitWCct7EGdRU0sKHTKMdybYb6Cznb4gC8oPgMsTIBE4uTt8CT
9SrALfPW00J5BG0rkQ9HbDN4Hlh2B8JAN+jT8ffANLK+ApPDqk9Xc2tSmZ80TkYYs3OPCInx8PjV
+ZH8VfxIAavdwXyt8GogN1ZUq0EMfAzNkLgRHe5d6ow8eEYu1h6TegkTc34Ei81h1evVf5aE/1UW
xY8lwQn/akm4+YgTbDjTH404//2Df1PsYquhg+dgeLFsB78Lv/L3ZQHFLiMhGu0Ww86//cnfm/PI
fD2fZz/0aacvZpx/NOfFbyYzKR5V4iPgIoX+v7Ms2M4fc7R9nECmGziCERKRGIh2f5kgAbjtAoHD
+tCEjRsTOJZ74ypwZh4dwJkJwzyGPJ03juqKZI3+wUVAEG89LOPzDr8jTupFcVD+Lj74XYjwQ5Qg
fggU5KJVCFtUCxGkvrM0DNHdOXRAHIhui8SBwzHd3/aH9MH8IYMwF0XEtGgjxA+ZRBB18WNLfBxq
SIx96763jMdw0VYEvd+/KBdffpkF4dZaNBh1Gdybc5NuBuQZ06LTCIF/QWNZ1Bv170KOH6IOLpZ5
HiofSlcyeU40g1UBtW/JrekLAJCLPsTvG3muF81ItKhHYoGOZEqn9GC7dYgZdxqRmRSTd0E+ET4G
VYgKBcHLjQJjv84mSTtyUas4jVQrLD3l2k48ZDqurZ4HNCoIXH6IXQDt3DN5RwCjVTrBCwZmZZ7s
HyIZYBrDpR4KpDP0Jdz4VKcdPlIyjgbq+B9SmxB1FGl8VjSqTWwscpzphzQnthaZTjGEhnWZCbGe
zs0PKQ8bEbKe2awjaB8EHSzsuQDXIowNL7uOBgRKmwo544CnxRPzzhmS4mUoqMwvgWw6m5M7DRzk
fraLjrC3yUtw5hYOROS1w54Qt+TdrFTsYyHB9VzC/XkWqJ6aTWzG8Y7onc8wHI+9oes7u6TfUy2x
fRziMKfSbX3BkYlN2Izu9IhjxKs11Vs3yvDGQaoqiQfGCgwMF52NXFVFlI2rWpgahXLZvjsw8uiu
Gwll0zCn1qao4PrmngoeBUB/UMV+BexQpl3wAGB8OumII5WLB3mJEKd4zOkw9g4qrrAqE+hbDv1r
v5RoDEOI5mlw3TdTCH/Omh+jMrV2Q12Ja+BBDrJjIoBLyzzH+Dxh/7YPdPSwtFleezZiK9rpXMfA
eR2Ukm7RcKSskMsTRU1mZEzAli5OAnMYiAun2UyykKemdi3aK9kiGqQvBy0Z8N8aYjVp8FOYZlc4
LzVEuQigHD4i+EFxz2RK58QoRMNrx3e78DextCB/HbHATmhlTNTKWm8agvqoTf3nMU3lpZ6IcmGP
39ahOT/LbEjfkXvpbYM5Httw3O79pM/43DP6f1lcv/qkpl0VxtzfqG76QNmv5Ir2kdwGsGIOuUFo
s9fQ/XxRhvYedDUBCAFj7H9VU2e1W1N67pUuBmM3jmO/SW3lsGXb/VYM2I3MmoiuOfQ1WkegyNJy
IBKMGUaxJi4OnNGuTdnB29dyvEFC0r9AGWL6AUb0DjUChB6FsR5+R3iOnTr65uoh6tb/2Rb/N9ui
D1APdcNf7Yr7PvvWfOt+LpX/+6f+VimT4OtTA7mecNBXOIuL5Pct0Qt+I1TXpL9r2Uvx66Iz+PuW
6P7mWzbSA6gvhNsIjx/6u4nF/I3YJicwLdfG9UEh/e9siX+UVHAK4BUIwbVQVSx2V/+XQjm004Gc
JnqOnaAMXkH6n74kNAr+haLijxqT5WUCtFyM5nHl2FzXLy/T0qLNdAyf1GP2+nUwjWCH6SeGY9Pl
wz6WSOZ++hbufp+3/5+yl3dVWnbtf/1fa9nJfx7DL6/oCXZ4c5Gp4Cblz3/Sz4RyzulERTCPrCUP
QkkTQVdvJBLaqO+UG0li6AN7anboouC+10gyVzU/9bWcHGtv1mF23XqJc23Vg72lcEUxOhX6Rsbz
fLLGXN38i/f7TycW3i9fOaoBEeJj8X/RnGQsHyxYjHaJPZDvGoYV+mGLf+ZhCaYWPvpKx76nGbhX
7w2jtXcIg/p5isGLYhhyP2OaGk9lNYKXG4ET/fXbs//5PuHtLeoKjnYO9yT3488fpx8So5ShK8De
pNybdLZA4KZiSVVqdQJMBN3ZqkSxdCw68jlNw4wPHcvwlvccHIjf8TlVxPKMX+BoWeoK29RlBHUg
yUrpgX179ZC/YgIL9tA5aZGDB3vrcZvs2QHV/V9fi0sN+k+3Bq05zqaOA/DkVxlRkM7a7HpHbFVf
JKdJNFQi42jHG0YpCYAo7P0LGVZsjarV76WnIUQWsgxzkik4KI1eaFx6gkhfPY49xgom+UnmhngZ
aWO3rbjxm9QG9ZwOa5+IDshF/XDVVYjAycZ5VWLJiIjESyg657YzmPeU05m+5HBQkyevcDR4t5xy
6hN5ODMC4ERD/bJTttREUiHQ5/O3/QRZ2C60c9Mo6o9FVT6T9OCoo/BqZptgR2P4FrZ5bKQJpS2z
jbDbVPOYvfz1Z/njwf3lMWN8I1yEM47lUN7/8b5QPr0z0U5ii+tNniszLyl5tLlENOx9x/o0Mj2e
+ykd27UcCT87kE6tP2HTNm+uqjsSaLAt4Iuy/StNxic4fFwpq7Ik+4DeoroDkAJQl2n8eIyVnN7D
XltMNSOQk8VovLBZxic1A+1cE/NorqbYHE9B3me7rvfMf3HjsLL+043Dk7lsCYhTBY/CLxcbQO33
l4egzevhFqtWD5sJ/tCVYlm/gzwU7mrORXDai/nS1EF8dKCaMmAIAsjVsxs8IQaZPpjnmN//+nv4
k/U1WBbZRcnkmYG3rC4/rXZFTPVdCILPNAqLtdNUn4xYr9wOFKo/Dr/L1r6P/y/+qP5kbf2TjwHv
46LEM8nSY0n/44tV7A9gmzqxnabWfzEZby1PcXb+60v6kwXxD6/yy1GtCLLUax3YzrmTph9m1VYn
Yp0MhRS3nHZ//Vp/siLAj2CPZkcl+njpS/388XFLZkpR8W9LJJJHx5Dz+wzK6uQ2jnlvjy3Lbkkr
nj4K5IW7kBDXzV+/gT/5SCFRuByAWf/BYfz6kRoaTUkiBPmH/vBsaXKLxggM1l+/iv3L8dcVgUXh
gKiUJRydmk9r7ufrtFlyA1Cg4FlEc69aeyEpEUqWDpdRPlZheh5LcI6jfl+6NX1SGGf4Rcgz5gon
p6OnTdgTHdSR5nvxUAjsoYN1KzHet7bCtjVBalApujIT6SQnVUQ8Tjg3MHnqD4aCvxel/+Nd+Ov9
IYIAhBR7pUvAJXXVosP76ZYnYh6lFGX3tmbbWSMYQF08IUKdPZBKf/25/dPHRldy2fgYV6EgRJL7
x5dK5sjGo2+EZK548XU0MTOGujsc46Ysdg6CqwMfdfgvXpRS8Nen2kONi55RLCurLyjP/vi6mmmY
LQnq3Q6FfgStWm2dGDZOGI36xQHl6a2ssb034vSqiTWnlDLb+Xqyv2Wxba04mB6pfTgDwgdxIu+u
VcrcsLgtTVG1J1QOEliUvkZ2+1oRIZaaGtJeAG2bJA3m2rhpVr4er0Q+kBPst+ZdCNFiXUtOi+kE
SofEWUItzcncNUBDybcjhRaCxknZRrHzR43NJCIB2lHy0tfoFss6VjxA97Tz1iz6V7kbPMQ08c6z
9w1zzHtpzu25nKVgki7iF3yo/dmoM3unYZJvojmzVrIO5Kpp/QwvCBgR/rvIXqcFWzn2aYnJGrfY
u12Ezd5NXKAgsnPc1zG1g11oykelhrsm2PdcJ8mI1vcoFc1WRMDgUyOWX7GMA4rtCtHsRJ2DNUlD
Ai0JrFjbOOlu3TrL76zRI7bJzupuy0mVPbfp7Y/WyYMbTpftLsUhy0Qrx6YSWkO0JZ7Hl5uIXeor
U3q9TduSiJdsWqvCe2BgAly4dkgPKnuwuuu5TqZjA3bhgpWsRpPCiJF+ChYh0CPlvLcLnOYefWzG
3eArYJCFn5NmAKf7R+ZaHxnV5XNqI+cECi63YTB8kQkHRDm2uxZR1E3EHP+ZDpZzGfJG0DhRleR3
FYgswzlccZq8EAD3PMbMRwdISYdOAXNI+hiUUR5AlWQCPJybcUaMNRfiDp2VfEc40J77JiBNOkri
T5LKwz1arPZA41ddCDezXspaFV906uzRBVU0z7MxuKsqqS5MrHqa1kgRSFu362mDt3F6KuK5uzjR
1D8pG2dvbTTTo5FEak8ATX5rqDo+0LAz7kk3T297UuEBT9vmxqqlzyt7CswwRP1cj7gOELZ8MyJQ
y5VXgeduwMMmfHuk+cnukvTFG/Tr6S1brlCbwtgzz7ozY3c/V4+mZVlAeKZzHU03keG3+8zMNGFr
efU9iqzkEUsf3W7ILBTggbVBomNdG34xb7quJso7nFENjLG4+DXo47yu5o2pJgtAdlN+BmY77ozB
na4lnLFzKYIPwmxeS9OMUPhalQI1bKfjF+ZgFVoNTS9nok+TOIhs+jbBuabB5vZN/KVR7RemCz18
T2E1b0Vldc9xkHsH8vTkPnSmakuGmo0eRbenRjZiQ+/TO2TQ1XaNQXdTOLwpy/TKZ7cpjRusge4G
3Qp/OS/vWWHHQy1rjY/J8bb8rXhv+/oERvvDETH5TSOj+iz0ylVpOiP5Xgl/wYiTh4GO53YY6Xrk
IJrOUavyrVUZwYPTT29tIKr7otHeWfSsCjyDAAWcdLgqpLiblelc+kTynTA1LzdJq/tr12o1D1WX
7JJQ63Ufwsu0K3XyM2K/c3CceHaIcxLRnDx1TkKQlKPmo2nWXGBVt2vYudlOuO3EBgFAXlhJ9g3v
bn8aYqFv0zkCHThVGl2gQUKNarpNUmR74aavNfmFO8KQoAsZ0C47E0XhgEV6NGR2i4wB1ZMx2t8d
nfUrHdTZBtSouUnzmIafIZkqRRztvJ0j3WcnqgVrYExAe5KUG8vPz0Zn9vdxNB1xH6OBwsVC8izj
oJIrVvnFMUcYZFNqv5vzWNyrIaPSDzTj7qzFDboCfpZtxsY7N7bnbjAvzwdyEx/ojq5FiZuy77GN
YKnfl7Pqt2Fjv5VDfUwsQaxc/lamqGzScnD3Wnn2vjHMhypXmzYZh5tSDNFJ9wi3VwLVzUs3E56i
al1G2HltWs1JJH20lFPH6Xpujp3VkakpHZx+eXzbz9CFOltbBKU4M4DqaswhozX9uk/JrUcZULo7
QoSXnLPomrKDlhwsqWPlGMOdgbd8l5pliUCpUtfCo2PsevUlyUmEYEpsfEvdpvo2N2a+J44R+Tia
bubXbnpKo8Z54V1XW/CmAvF8WuyJHJz3iaeATVtGdl0H2Ot8j52zYYbNc6FgahN6ukZTwnGwmAD1
YJa/Uo5IWfoFHdUmN28KRvO7rmbxztLm0lifeUIfYeWhnHkMOr9ct1aiQDcV070X58ERleR09Gc/
O6JBmaBpd9GXcg6nlx5TLlqbwrofYzIioLeyFyZ2tnebLv2KvG0GjNjWNFsD/0XFpnmVJgiLMydm
u01Qanp5shlzJ76js9NtkSRVJxi+4ohJnjRMB3xCEg3mo420+gIa3rlqWh2cmG8yjAuz+GaQAf/W
hsMtVOB3JWuI00KCvkITduAW3dZ9+xZIkezKgnpx5TfL6oL/lP5sgUlzO/vedNW6ztYxmmvVnwVR
JrL1yrMu0ADEGI27NQpK0q37wL8BD17dd3Mq3kVayxfMNALKgvs8Ra7YVLDBqQzIQhB6aMJVN3fA
U9wQRq3ryesurz3WMJdkNd9wNuQ9oE1HJf1gCITAFKZFOOx8BToT16TamRPqw8IiGnJ2JTd+1DWG
2tBYd6+gUaP6C8wvgdv5d6BL8bSOhnEpQwDpc1q/o/XGgJk3AIJQOZcPdPJvF7aL37qfZdBcx/kc
34k89DaENBKTAfb/Crq2+Rj7qVjXDm1q2lE3bUy6UxytKdSiXRNJWtaWhZV7MBCdaTJhz13Xxk8c
MT0LfRZNdeTWHgwSRja3jNWjZ7/xrXspO/PG7rS6hlw93tA4bt9bJMtgeOskedQlb8YwXfHhjGb4
PSArD2oKkZF2ws9ZUWBsGvIaMKhS9O1Ih3AgaYzO9M1mPHWSQzvBSXKqctuEfnmvSp9k2TobPgqU
2T3gC0MdY8LrMJ0qyM7ktVpPGCHqNcngYUAUHfv1QPunAs0VgaWCWMJW2dfRo6usni+/wIfRahnv
p9oBa9FGtacWJti8Slu7eK5EOL6g3y4IeG7R1pD1m0TRNgNyj+qvysJbsmSGnZ0TLOpwGGJCEhni
Na7ZgnwFh9GD+rQPhQErKtcQorVmYkLguOLNozAAZDpnznZQRk14DGnr5zGnQYlBrVVnNSXtTTZk
90gL34DBfOml28Nyn+zrJo7iQ9/PL/2M5KlFobeekrw59KD5tmQH4A5YthvT9tF9h81cLy0iYjul
R/JUEfQn22nQD0L93BHuDfDT8EvCKWQ0Xg0JeBmkTpkswgVtkMJolyQAtFOZHUkmUs8laJY+ep9d
/z7Q9mMTDN8s8DVQRr6KvH1h/uQeJKFwzMfM4NCapb92TemfiiHIO0Y/qdxUpgVlpkKncCsBnWEU
gNEgC6O3aEXZ1EmBKMndaboHo81zIB8BDh5X2f1tXhIjtGo9Ib6NmrTDNW+hv6sjEV+KcHyIRukc
EF6VryNRxQznNUhSWkv6Y8ii7mGWfr2fxgp1mlI+QcdTHKygi0/vfQ/DBS0GoxkXWk1UOmrPkxzU
a5x86PMyfRhMC30gAKRVY/XB1qvikiDsEEh/rmAQ0HBZZrNg/QEUXvmi1M8o4Nh0gmCAaJPGxL94
1cyZFWrgtCIMNv3kZ0iqgh4AImEiO2VNGZO46Dda4zrXCxAMk8vZR2+UbF1ardvGDuUJa7whVqkH
LR/dp78nzLdjyXUrhwhA29iVkEkfjNHnwODTNHxC+lFBBPXNIy2Kat8EdsjDDUbaWEA6bjRfrEyv
B5hr7x1Nx93odOY3nmF7OznQc3LownckhPbbEZACZTCJEFfMM40bM3GiDJxUk98USR2dG4oPcIY5
KjyrqPZ9FODDd1zrKOPgqRjMa9yi1dvcxymhkITcu4NRPWBUN9Y9A6sLxnDojjL0LmFom18TUYT3
PZlON7ZPqiG/Mv6+LIVfgRolD72WteB/5qgsSU/DKWyET/7cdY8+GbHEhHXpdxaW4hbaxfikzSnN
NikUh51FctJXPZWkspVJfkhAD56KLo1vrTmuL0MzEj2bKeeKsV13C72bWFiDWKlU9RFSY4AQCsH4
UXsBomMKti8yTB2A9v0ScRvPCv/RgGglkAAD68EfQOX1CREjbUyIpEtnEG6cvK5A3hGhXen2AgnH
p50yN9MB+np49IrO+9BWbdfgFsr0QuikutRBNmH3NrRtXwmf83FScJok/IWm7KpMIU+j8i4PJJFm
X9pWNq81fExr65gMDlZVPZtIX2KdPfUMnDc2qXJbVxI9CxVDcrAJyPE41cmQ3BoeYYKWqNRhiJph
ZTgWzuwpae7YJrMdJIrC4SmpYwxZwfRsWCU0k9SAAVoEgpizGfBWXXa3uT9eyN1gjkqwaH9QXIKx
UoEqP/lP11trt6C0BI3rg5Un4ENztgrEvZEgyQYFTBUS2bm7rlHNP1kQAyA0IIlHe5vW3wsVgcye
B/tsDRIeFeAkTlI4Lr6JJMpeS2GUzTaykOSsq9LV6b2TJN2+qB2KXWOeUChUbsvKEE/3XCgtdAX/
n0MVTkg29Wk/+p485I5hOs8yitrPwc5AY9t0Dstr22VEuuZgIPQxnFLPXs2R5U+bAti23lBJG8YZ
ZW8XHC3ErIsZQLz0cpQHNNfOfTE7pNkZKQpTSYQVBiWPdG2edqGCLedMjYNAgx6s57lHSZinYbKT
JfKBroLwIvw5UNupbSb7RHsvMtceqPQtyTzZvBK6RpaLXewmd8L2KR1EtgZsAdqxXqIcjWD8nFUI
Y5Ozt74GbyHfhKUW+wxgsPXEDktwmx6ck/Tl/AVLdPuZ0Ae6AfRmvHPp9WsfofEnwIlYILZClgG+
G5fgyV4Gza0I4um2rbwA51w/F7tBDOaJbljMej7IQqP7IJCjjip1Tgl1ua1MkX3laMlx0dd18JZl
Dcx+m4X7S415Pt8Gjj5mXRIgr9UGMIpQe+q1rcNqoWJFL4yUeK6GIuWgl1YP5RAFp2iJ8t0RvPdW
2DSgdJus3c5leEI/c58N83UOOZMPmxYYSQBGfA8Xpngc+7HbOaaKjyoJrDNuQ4PGR9M3hPoh8d1N
5dxdTbK2t8pImw7nRtV8Qe42HDK2r+eYJLCOFT7xMq4EBlwzZ/m3inJpq3XVHXhUYywfvXWn2swA
dJp3CEFGmyy9dTd2BM+M4xSR0OAn7JLjMN9gweRgwGn4zRZ1cEV3NT7aw/jRWsNH0xpPJkeAhQlv
XTkWZteggsThAvBYV6LsnxsVx9dBqMJThlvgY/BlDI+1SqdbOlvsDJLCmrBO2+9JebJogzYpuO1R
GR8twj+y2X3ns7WFbr8vL4Hvjsif8H5M3ERsPXswMXgOKUd7j3HmtDKdifxwa3DWbsTFVVPEEXx+
Fg10pzXUorcU3XK+HgKMTmPk3w1JJ2461mDBZUUbxNnEe4S50x+Hrp6vGu1CkwU/ZfJbCNcglXfD
wSTfe92EnIglYtw0E0a4nj5cvA/l4qEM9BkPgPPScunXCBVRuodYgZlxVVu6S84zuxPs8aQmtC+a
xK2Bwo94MogjusgJTLXmm6SU9THEBAIpqVbvgIFot0k4FZHirGuMGcnv6F1wOZawYsG38xwYlrhq
KWmJLGGzAjk8siV3uT3uvWY29pXZ/sDiVdiCe1vdtuANd6bb+FeVb8ewt5PYelBYRb/TylhIvFmA
j9jIoM5Y7b2MmuTOWgK2Q4O8C9/rUWpF/brLuA8nb6rIxguq6cA33pHPYbsMXQPNHZuEx2oIX7Th
+M/J7HnX+dSodR7MFq1ZOW4Ee+91n5GUEAy9twkoV14Gy8uOElfmmuJAbe1xICcUAc3KBXF4M+oA
a2hnGtMW0CrTupLz1cWfOBWjzx6OjR+m3+NmZgMuombtCMZo0DTKJ+mJ/BE4wXxP+Kv/zLy+4kiU
RjJauT1UfiwP1brwMovUirJbdJNpQQ+2sB+6qYSsNRFRxhEINM7ctjhjgD81uslQZeY4tmEu41Vw
R5nuNbUknktiL1epb2qCQgRRYGHixpRb0/CVZRRXokcIfLgLYdPMOMwwEzKFDsgNamsld23q9/fk
6JkH4jmjitU0qIFfj3ZKrIDQxiUtpuy2rqroOiCNag+TBFGaFt5pdMv6oHOrJDdqzjZiaDkDtYW3
aaJM3aVjddeSBvBkjUQIN/bXtPK+hYhJAc95I0Q9b6gxBqDrJ7HHW5M2eQNGTRziODHvFSBKhHNO
cC0nXdykbf5YJqGN72FI8GLY1oPfuO4jMUrRFa7AeWvUwwOIu5xF2tP3eJfMQ08Qzu3ITopCoVyE
tGjbjDl+8GYp923XeDtb0mWmoevc6NLFAOSpbte3hL0xDHklT9Y8mnFh7MdIXg1F4+97HAGbLOk+
O04r7xM2GaIGx3U/AeweCURBDahWOaEgVyiiUC7hdkal1NIbinCgcIc78XZ25uQRs+5uZh7rYNm+
sph1bcFXfXch+B5jrZ0zzAysp03umlBhWElL+k94I2CoVblp1FCfyTe1xbkm4HlVd7ka1o0g7TXD
x5CsOkbLCklvcQyg1M3K2IZZCcTf6F9lKN6JXIj3vTFaV1OJ35kQOu/Sm826ar2TPXcHQ3G+q7qY
CKc6OdP7rZgdyD05UpfKEOZboohoJ8U1WdnInWjnD9ORBthTHuIDUKa/ZvCwtlNs7vEAZcbBoBaX
SKG7ZizeHQLF17nTfJ3n+ITG3MKvnFYIrkmxIHBBBTbbgSF2ijw8eCfplU9kAYKysEav2JVMsig9
/P/P3XksR66kWfqFBtfgDofaBkJRB7XYwJhkpkNrOMTTzxesmrJb3bNps+lFz6YsrVKQNwi4/+Kc
71y5FgE13UqD7IFfxqDskmgjyowhJe0EUtX5o4JDg0MsV1un9mjax3mvOXO3tq/J3kQa/qsmGvLR
a3UFDzKRSbeZLJzaaskGmM4L7m26CmJgrDT3DnjD3PfOCEt/QlsmXTroGo++NxRPDkkU9FqGaVu+
kC/Ee9tE9NI7JIkLwUwka5yCLl3uY0vFj23j4BMcwzo8+IG8gHlPJDi20taVuLUqgy3maPw1/Yz9
mFvRz3ikulTU2ZOVrhkrR+Ek4acm6sTdwIrxI4IGrfjKS+lPIk3a7/Qehll+H2rfdQiKD7IiAkx6
PuBSgsDcc8RRPs8RbDpmot4A3VRzH3o2KwTO0xADJtn1D9lk8sdxUJy2nBvVwclWZpqExYFV91LP
f2+qYvxcaul+k+hIUI8KRyDmUHA3PX1dJOu52K+Yfgm5WsRwzFyu+8LmR00zaOgWsYlZ94HVvTEo
7naZhB6/mQf/0vdcZviYdvDE4L5ei1vPrvHyNu2dkxHzUTafCfhqvtHpzuV+13V151iaYNDBQgk8
LSSD6ErfuxQkNzxxyXvcZi0dcbuZem0TvY1L1kXhpxfZQPdqU7ZLC6aYLDyYMvww2jy47fwGeX8e
yOijzCB3tL2YMQvpQA/gvTuy7Bxw5F7Hg14iQIy0K88iGzE+cHdX3JA5U7KsaBAf+udct4H4I70p
VlP+xiZN6JZy+oiy56LCR7wZfDJaAmUAk6NjiaMm7KdHxJ7Dsx6J251ThyF14ba3GQIGFMU35yi8
HZxGsRVBwpCih8P1Rr9AICGqtHbrk9ZzYWpn+EhF1hNjBwL0ah16aPQGogSFb8pauB24dFFScuQl
UcC8YMl0eFxsMW5tWh3J+VPWt3ZRuY8thi0KLeanqY3xFHPvew9L+LCg7NwwW51v0trtgPbN69vi
07WVEassJhuIZdM7ryvfpkk49wR0xnrfD87y0dhpfhypjm9UOHhvS7viNWtZ61ESrW5UZ0to38yE
DODr8vkY0IMBYIQTGN85jIa+6E3pQtYsvk0NwLZo4PPjk7QSX+xiVxTPtHCYLLruQGhyNJVkEavQ
Yl/Qm/y5HNpjNzbT3i2nl6HHNNHX+pkF8qERgX8s2CXtxrXrI3vBSLh1yW6H22LdOZqVIudK+jzA
j0Qx0tCZGB60TeHZ3Z9qTW+b1j+71paDL7ttNRV432BCYlNEl7wCbr8i322XSMiLPUobxOay0XtC
nCQ9PmoYb4uj8BcCZrdB1NhMx5L+882GMLlXnmoviIZuv3EH2uigJA/IBOkPhnsbmsfCFXKOWjHA
j8QlwnBt9a/9JCAZcvYwmkFSAQ1vq3OE3oSn1VSevk/a/HbwRyoL06SXbE5YOciyAA8VEqXb2ePZ
O0+A58M6pxVoZzH1W5kE8og7HNc1jFXWCaAa3hAyp1+r6ERUIa559ABhMSeeGxIRV8UR5voQQnPW
ZobknR3nhnVVoLGlZQIpe9EhQAdLS3TS7UQdc2mWWA+s0AA2bJJkJrRmLWpe9sGWYKUHPvIIae5L
3oOnDYI12KWegcMXiIyyjvh3n4BDYgDcg9tTQeFhHOQNHVy9STq2imbbtus91uw+S63fNRbBqPNB
W+Tnipe4iPQBvV5965CcSzJFkZ2ydfWOvErOKWQc9KIS6e/wo7rkbqwV/Z47bOTay8jNaxypGW4Y
dnn5NTonRVlmqJ3jdrrixJ0jIDDBfuSUPnhOzt6/7s6bsTYWrwXjhsuYLdC2ycMEs6bjPYy4NXEW
1+4XJHU/3jDV4/LIs9nZjsolTAsqaVQkpGYyQ3K2Nk7ZTUMYyVuXJu6j4Pm8TxrBo6SdgbnDWj+4
SLUwBEoPF6ED2IFDlgGVURc2BmqmKfmSboPcLR9TwhYOeKSG1zbmrEPozUJ/qlC2bRY747+4tAj+
jIpKsFnS/kBSUJ18KXS07y78h7vlbENlnWhFEqEinG/HjQI/NJG0NULpvKijrHKWK7LyuHJ0bfjp
THUbfFqT9U447m9tsGi4oXPigWJazzQJX8OQnRJLlON2zLpz56AS4onCldU1ztKpHw81h2cSJV1v
cEpkLeWjw8h0KoOE0LxUP/ut3S/ni8jYW4KelhnzqO8jGVjD68oIwoL8svuSpP45zNxj3xnuWqtc
Lsg4JCkjt0hhG6YM+UxCkuy9Zlj0yNOVvuZVI97IWcVdDHFipy1X7+M6Xu+8qi7AJ430l/FiWDsX
wn5DdTk856tkMBWUoISyVQQXSSfbCNmY/h3qNdg2sZ3vQm9dHgnaaq4rnNF7boti5/kduPXZxqCw
2kayfhE/XfIYzU7VXgEMJY5VY5FxFy0urCHEY84d4kRrESz7Xpn1lkHLcLESW/OZa+29OD2FdkWT
dOytpGcO6ycH8rzTvRi8XSHn8dsKW3mRTjIWcHcnr8BDkF5jtZ5PPJEFJbXq3rEzZ1/4FJilJ3p9
BBlpMAXQ7zRwn5uzgmHL1BiEesb/5kxJnhbAAqRewPshdN0M/aOYy/5W5XXr3trgtS+HReBnda0J
GT691pFcPzboa26fFoegE3qIUpDUnhS7xhvQqAhgQX6Y+U+E+cnbpKkpRITP0KaQE+8zr16je5aY
wVo8J12JhMRCQrX29Y1VW89+Zf12kHY+lY3VPoCPjvcYf9JzVVubSKXpiw1xF8y79p+cOTcPmJHr
bZbdT4xa91Jl41tee/3JFc78RrTXsMsQolw5dRpEox+Pbxwrb15eODeLda4PpjK/dXIlr6qitw+F
TsqTBpgQxa7Jv6Hg9vt2knbUlSalVbE5HRBYYfYBVBu1jSTLG/mHe1H4fXswXbC+l7olUn5YVvlF
ajL1WN/Y1qagTr7KUldvK6xgx1bhHek9uDyaNOqoVWdpRAXJCgthc1E2HnMfbzh0jj9eNkTFAekS
4s0NC1DjOHxi7CFpKe4ZtqZXZgVUwcw241/1533d2PmFHgvn1PhtvytJb8JmXwVXo2CkkVV/JuY1
3sydUeDdP1BGw3FeHNXiHE7sCJR0dSRQgIY10O9BknyjUvodMG2NNFvsNBb72Uei1sKJOTRt/Tv3
crKVvDONois25yDEJl/UNinNte709eTXLzOhs8G8+tu5YDFkicVmb5zseGWjUSi48b64KEzzuPTi
iGIo8m2THJesKvBypCgQ2AoN8FxZZAWYZJqyJ/VQWkecSpeFoyB1LNf4rorDIjw2QvyTx57cyb0a
MLmwcU9pJscx+/Cbpdtbvs5uAj/NH2FteU9uRcdYrymj8LIWh/+11jZ1I6v7HQgI/WklibqhBbb3
a6DzQ9Wn/fOPYu7/tbf6f1RKGa/z32SD/wlaePXZVYAM83/3R3o/f+ufTpDgL9eVjPBC71/O6H84
QXz1lx0qF/6ggBgYgOP8lxNEYIymqSQ7LOCfQrXOb/3TCSLEX3ikCCrjdxS/8IL/ihPkP2pgobUG
aA09B4mjR2ra+ff/pqf0etdqfE70HRrlI7CXOy/O/4iAIgQPM0D5e1Pnf1rFsvZvn9L/RU0MSIx/
+e8acuCLjFVc5kCsF/lv+Q/eAp24zuqtxbjzeGl/x8q3SatQhChMrhH6QtorsKgUPpmz8VNrfZj7
Zi54tZKVPVLf/FGY/WbkpyNSpCoPgrc6WOorJvKSjI50UeVWa4AKG67n4KSKluzHkXdx77gxsqgO
6cnqGf/S0gM0/j6kL6oW7tSCImsze93dpBk8AV/4ymzWVMy39hmOk4iOAGlNWz2Q043TTdtnU5dN
FY7rTM1d9uDM0Lo382ycW4RP4lRgaLj1e+s8A58zbo0gI1ck4OvFy9wfcHyX94tb7/Imu86crL/J
Gz6KOcR+F5GtSmAkKdD85WnhJGdHZr4cz1LPg9+jru9Hoe9gtHbXbgVBXKRLvJFeykndSKarSEmz
DTxF/ZIiQnjwXDPDM0mwULJQFOx674lHUtu4HpI3mBKOjvJOWWeUlVNHjrGCu8nqhz/xLENiLeoQ
jL3OhvCbuG4YecvkoSfoQvt5RsTJLyXP2DZunOShr9uYal4tbC8LifJpA2BrOgR2kFxJx6Z2ZbEE
/5K+27Fc73ZOS3VnpyubWayW7gm4tY+RvLev035GPdTM1WnWEJHITz5jp9aWSxiVZRVuGnRuh1qN
87XJSFpmdgFEnVqO3PFhvapm0zxjmPVHbrjegqLnuPWLnC3ajuEcAOljL7QO7KvD+qSlA00zIUek
5TmAEb81JN1Gqm9w0Brub6BTdtpEyFdwEBYS3cgmPquhaVkEfDDEAMsdf25qmWRV4rdrYZveaVYf
SK+H8JR4E7M7G1SVG42sdyMXaSW0Q4MeK6jqDE+UsWvAk9jG0LL6LKtq3bgv7sIAZ7dmi0c6OLmT
G+4QzKle1zN4r7kKLmJwcwzHSXC/Gcdk+GgryYNEPtwbg+Hkdzz4zRefTPrQg+q783MXeFK7FOzL
UzUmb9zgMCxTkimILK0ctfFsYU7ILfgqq0wE+qA8HIir9tUHqo/+0lszb45iZdCJp2ThItdzxLJD
uyj3lIvLo6xX56ESQd5uJyFJOskAKpWbM9zkC8Wmp8F7T829iUX40QfgaLqUT2+ngq5G0QHLiL6L
QtIMaL/8cRTzbiS1+RN0U/886bCQG8mQ97NNM4zPDTaqrRAdsAYy2EjbA8Muflt9Kh6ToSlf2N/F
997s+G/VWEg0bPA+ra2cHGQ8pMjQNAuTN7uxok2pvVbt+mVE/E/8MJbPmHyYfts7Y0nMaBJAIPK6
Au2xN/sSQIPnrbsEaNdBJIapLYWqwN7G8HvxV2MOgIW6B2Z5ZDuE2i6u1pxIufNuh1MkZ580bRhZ
WHdLgxs8EnmQv2SLRYCFbTOCj7zKr79su6vsLT7D8ri2FgUpcjZ/4SSU/sUIvM5sIEGiKWmyIDtZ
ZZGc5OC7pMqHLprrlYCg+xTJxws/Ulb8jVcyQwkasI8K5iSUl2SrGjUhCHXL+wL7625tetLYG2IF
3pyeM53DzF7eJ3z/Hxzm/ERZPYPPxKiGpot+w0Kta3SWb/TcwB632NavSL4nUtqHme/UYst5poqy
Cgyy0IoEwDVCseLYrbe5tZrbaYB6UdhdxiiRXXaPsSRklmYDpXtPh95A8Bldlwm0sCraddrFmwy0
0slyg+Y5gFsBXoJIqGAXM3Z/m5jYfrd6ZatQJuc2KcXlx0BHYpdCgp2sLnO3btEXImZ1t/EdJ7+l
F7KTU22j79pR0zqXtfF0cugLB5blYo09xmK2/c1NV5cpM5U2sz4nkufjiJaj68kGqOJ9XzEHYyjo
s80hXJmlRrNqXDJQA1XEg9MxJ2A4gEiktsocCSQ6Ara4i4uFwe35I8JlGDp3KIpQLBEgPQTrZZid
U8XhUt7wJHUfPoqyG9Lb/Rca1vLSMI++Win+LO45rzh6ycINmlfj8loGgkNPB+l0iyMogK4DPuiZ
THoASEuetC0cf+V/k1joPc7gvpG82B4TV0putF+j3/1ZRpPcd57TJFGKhnsHg366DYA4oYlhQeAg
l3ytan0WyQV1GmU+1472zsEYcMGgalaMA/2xh5kGn9HhO/9E5nc7Tkm8GX0bqu4qPPlLQ7W6VTEE
4t1Id0APArcLCWbj+vYx1os9bdDMxJ+2XhgyjR729Wv87WQiBZ6BDObMNj/oABgfdfmML70R/LfN
cbK8OaRoPXH8NqeZAcUBl9jyXnM/X3tSz4idCgnxZZxDQrB61I0bbXvkU8MqTO1IjgRgodM6s8s8
y+4+ptEdTugRzW08x/Jk+z0yvGWyogB7/bPLi/RF5xCzlmCLvp/r4iAZ2zWkwbGh2HTo3b5XRotN
5La975IMR0d//qHJ+1S1ENdqoGQjUMjiumU28e6OSfJnzeMywVTeMtMRLFj54LIE8gODsFmqC+Is
UefVOg7eFiQln9wu6T3NVTJzbCG/mlFSd2uxrYcGwfGm7XP/zo658iN6djXT6FUoGyynUww2R3c7
O0XPS0DbM/dW9tnKML6tTf2KMoT5UYfTI8lEHZHzsyR7CgPiosfB8g2RlMqjZ3eSicCGc7ZSGcNd
bpIZHWbJJyHKeOl2Y2OBuCFR4auVg3NVJV7ggmkTGo4nCOcjeg/velTiHZZM+5zPjvoV5DIssN3w
mO1C2aMzFZIigaWnP/whnBsZSzv60L0UKLIH2/F0vB+NsyxMzDVKgGQeM95OZ4Q4xx4MaWRgyhHF
Z5DldJ8IoOqr0Sj1SrAKT1SJBIdCCFAXIjuuva6AgLphHsh1yQUv/nQ5G03O6UK/pR2M7sga1Xzn
pegbt/ZSml2SYnjdoD8QODTmcrlM29T6FafdCJUXXXnOMiSwIzC1w4fTosiEmZFaH9ryai9y+iVD
iOdwCoSyhFEokCU9VkGDBlCbhtoEisf0POU4WaMFmWpPZBWLgw2PAGP+PMsWfQOV0Hmwq2IN9oTG
T8UmXYuW/F9GOReDJ/1vfD5sFxUbpzAvtl3bhJEzADBFW5u8TjOBF661UrGRwSs2ORqzjbHPiUZn
THCEC25lYiKsr0Xo5h3iZQXslVEg0aZZuAYbPQTlXqVINLEZ4VpYG75Yo+Ud0GBWc56bbEv0s/iI
zoiKuTrq0J2Jl8oCdZ81lrWbyirYy74riG+LFVeuiU+w2Zjm+cxKgbCVX+EqxStPovNnIlF31xHW
xhtW++EJmEkHpXaecE5khf+wiiWtd/YQJo/WIuADjhOfHy/Fy6wmjqsCuFp1CPpseSURp3/qu+Gs
4l/dedmOnu7FRizN+Ie53vilEibcmzroz3FpDjyGqKS7+eMEaHjJuEGfqxpoTqTtScVw2Fk2yAcx
J2jJU8gWd6qSrRiX6U9qsQNq1rYkSphDZdNUcTNuGQqy9ot/UmzjYZjlcVQOybtwh5dLOMOMrNsC
2sq0cNPCQ8Ts4CqmVlxjVVvcllTz5TZfM2NfuF3RESnvpY9N3loP9bKyJvaRG6DYXAMWfPjnJhlM
UR1mWJnddpzsDUBSZJJFbLjvlxQRmZ944VMdm9XBSAb9bcNFWbSYvUyhtrVoSX/TLG3RSjYtFZJF
Muvz5KsajVlZ7vHl5vjG88a+wjmUmN0AHx9Ih9sXr8sYhD0y2TH5nRO/nGxaP6YqqqySElF4JJhs
9CTrF5tIm6ept4NviUrxOC0LhB4sX9VbRWdco2Xuss+MlaK9p41172A0L2LjWAAwwQzb4irUhvIw
rMIFsXEFwX9LRLzicFCsNriG6/YeyQtI46HkMWQtio6GSBXanF519kn6aSuuiqAjA2rplP3kV53D
Urf4Xa3QEzY5GxeGk8IHXGlKK9NH19Pi0usm97YeDCVkMkxhcJmWgX0Zd8gGOJbd/GLI3O4EnZeB
q8oVCnLl0uaZmSi7FGbEBXm4yFutOvtm9mt3TI7J4aJLdu+RhF6JAJ7e1NYXpZTr7ZzkSFK9cjvQ
fO1qZ2Kwo4pDWrObkkLLzSS9u54X4C6FJoDeZWhQBaOir33Kj642fYJZcMhxlwMcQ8yRbTFIjRuE
KzYeHqiTUHWre8RE5alcOrxrgqoRrfXSxXyZRRXXNcGfO4ulDWRWkErLnHnQI90eIGVxxJQhooz6
Uvf5dKq8zn6xq1L2HLDM28uuf61QxEVDKr0H4wXBLmyyZe9W852fWPO0le7ooUGewwv21wrWKapR
IJJkl29DorOuBCwi9g9psO7srqhuUbmFl6tB/RTVcYiCksP7N5lShxaF3B9U4PlJGyaCg6nC99oy
waXP9uxNtp7+DrhAI58PCLt6zR9RI9vChiBXzA+my63T6jm+z1S8YS9mgCk9gQqy4UnFSPWmcGF1
XybsoWKI0RCJmqPvJeaZ0WX+EZNWNrGqWKw/ZvSr/sPJaYMoAFLCnKs4sNcDWN8JJoGS83b4iZZO
x6b4BrTaXS+YTAi1+4mhzuZzJLVoFuKpC0M1mQOGugcYQny1OCdZj+5k6HHshi3LyKI/ps2kUtjm
5zsT2WhK2uxPNHYwOVO+pUbqL5ufY2fgW3sffiK1cVYSrz3/RG2bn9htt6RNwObvoNOWdc/6sfFH
pAfOObF7QK73u/mJ8VYyzJdt0AfhRfgT9I2NrNdwtBOK6MkpvN/BORU8ZZJz1U/9dAtGYkV18BMg
DvwdEVd5jhUH954iYiZrfBgd50H9BJDrwOZIjAOUEjCXNZbKpmf/lJb+4h5SBtkNAWqVkRvPSPt6
7Bo28oOhehqCpFv2tTUPX4yzg+Hw3zL5/P8u6FmdA5/+Nvn7T/PRm88EUk6fDN2/TUj/+ff+MSEN
7L9Cejmb7AcXpaMf4Hj+54RU/nVmytk29msGlDQg/5qQSgkjjv+DQ1s6MN08/tL/mZC6f3m0SsT4
OFJ6UGD+S6wcYbvnUeS/jSoVeTNUbKxSGXzA9fn3IakEvDEP0poJ4GikOaIUhnVtWGVu1gQESz6w
dBpKH6TYHJr1rAA/Xzvi5wayfCtFtJEFdGUsjN9KkJPhreFk4U9UPQ7C1hPnksO58GecHZiuz3dh
8XMvxhaaj3uXvNhXiz2+fsTqNNX3rWTBs2WfNtBFKuBpxNV5sdyqYuo69GQNmVvD6qGi8QxV2CYs
Jff5P0rKhVEOsku30qdq0OKPyGq1y2ZP0sQD9r8gw856kHliyVuiMk25FcmkXJpo0eZ3U9dM1+jA
KEPcc0Uiqm66HAaG29vOrU18G/8UMThJ7PyB2v0NpfAiDminqYBaX9KjTbFHrGKaEDmPnVdl18gs
RB+Bl6SsknTHZFObXpH8pjMqqsAiGa37qcoWec5+mEyWZne9YzNYY9r07LW9c428fNF7zIemOGJu
nfLLbm5GhEW6J4bY88+yt6UPC/aW5zpTgh7n6LDVSBlKQTqcS1N41RJzCMAJ0QXJPbGWaKSpc91u
oOLt57wmFSssUe6GUz9s6tEL0EwW6Sv/GhNko7tT7FpBfeEWDVX3+lOBU8uoB3ygq76pfmp0rxhV
uGH8SO1e4WGH1Y5HGZkZVID1Rg1+d4Zb08xFNnZP69gxwn5lFTeNh7HRMW7ubl7CyP3pOIJJuqdq
ngUaU5Juq+vAHhgfmhCb/6Y2jTgydaSX6Rkdhxe2yiGe0pTQhEBkHM0OV011lKi/hy2ZH+i89Sr5
9fDTQMF6T+P9kuemuLCRmy67pAwxyyU+plFO52Z+6pPEKo6IB9QvfH/tc5nUNMu6677rPhYzBpWJ
Gb790/yZjpoWIV0dopmwYbgVPcy7dvXXLgIMBQ6GREfvkqgL51cD+nA+oj0Iyl1CEihzEyjlS7R0
ur50pqEx1Jxdfj2gSrjvUv/kM9V47nug3dEQo93Xo0gug2likN6Lsnkli1c8UG72H1gxvavQzY+G
AHSUaXxp+RhDHU2wmKaDfEo7eEsbYbMzJmG0WR7Tylm/SxIqboxrd1NUjHUi7jp2tkwZ6lyes3TX
xrDB0+VNmIUIQmZVMyWzM1O+D9ba3rFAhtDXhQ35obEdQhy3XEc9gW9ryAyW+MiQQAO632EAdq8h
nSTuttHIEnGLgNW7GgknmWG/lQryjxgZgSX1gr43Ix1oCGuAS/6ieNqJ8l6xYC4Q9mpEfOiJ7PjF
Wov4sPpoyMu5rr6LBux50SXpXsdqfg0Nr13bZ4F/EG1Xvi+F5r1B8zDcMU3uIqXK+qqyC/PUY4ZO
GIsXnAWYwy5TpZwTM0YqPhU62XE0dQk9QUAszFARlMfWbtWzKPP+igjRs5tNJuEOS1ER3+dzilfF
d+jtDuHSTnv68+QXwnnMHBlqIIMQQYw8HkX7lHq2c0GFoFKQgvDSN0zRHXxWvkfqppt0l063Ygun
O11f2IZUXy3CyXBvCmfWB2wXASMIugyK3slg+9LTbdJCXY+VZBhhdF1Mj82EgZjIqjNfIaF86Jmd
loS2e0iLLgGxF+NhXhwQP/0KD2ubg6xisBrzrEaujWnJIJO9o+qokR7QzBNv4FfPQdZb9naaeVGQ
oFGuxlbtEo/NNRh8ldbiEDi1Oge3m3g8k1eCBe1fw0hYcyDrjHlG3u3DMQFc0DPn4AjHRVgznYUQ
iG/nyG6EAVoP3YZjP9cDLMAlrJ7qeXRgBAPW2BnVxg/lYjHjXvLzkFhOvgF1I9KJ0BlEBvZInhU7
MfK/N4HvkuKliNb69Excm6NO7TG/UU68RoHmyImQlpe7RqY26UVjN57gXegnWpGq2Bo9i2HTO4Qg
b4VLOjEyb3T4kMvC6TlcVsZEbirSeNPzyaeMl5V3X8ytRbb9glkgSkccTVswLnwj0k2ah7QlyTzi
bGAaSOHrYdem3kcvErAx4qNIPXj4Kg8j4afzVT6k9pGHebUYh7M5nOe6SdElhoyUJDaTeD+0bnis
8GB8e3PYvlYokO8tM7COnwk/+cpx+OOfhMXCOCobg3rLlyD4HrrReiEqlefHHvccQql0aZcIA6lU
qMTOH0IlR5w+eZmdCDlYKBA6x/lEvH4eRlZV87QwLrip7WZSxH7MUFZUzmwK0RdDG+Pr8nb2ajxV
QWJepoXGJV906Oxti31nVhIQxaSa9dBNTo7Mk1ntoMPbQI+/0TlzmyOu3eC3P6nlCPlL3MYI1M7+
OpBayABytlDVpNcaURnIAJHOSXyHFnlejgolYHhamJ9iSpv85IYRYPjuuYt7D9jqqnWydCbioHwY
seNdQcEdkm1Mk3dwOOS2sTbWMUtp/5mf/cqawkRpw5kpSahwPtyOWSwzjzV4HdIR/0tjYlZqc/3J
qF8kEQvM/MKekXlyxpz7H52dIaJjVExjprcwV7LI4BV4sNrKh8Pn2/JgHAYvpfaSbcF6B4+MPos2
YhDc48ouaKPwGEc+SWVME+P10mrXuNvYmo5SFUzaPxIx6GvP5BMeBlAJc2mP7A2xgW6SZmKni0oU
rrUm7GDDzno4DImerki70iqysezsoLotPuiX1L81cEm+GIDobzV5yXvSL0+W4GKFDqPBGvgGcXs6
N4rVg2evlB5+w4SAs+isS1mlucCe4f1qraSxD4RlSOvSZNmFULQvsouDeyWxlbl5Kp4KBu8fACt6
hINZa/54gV9N1Aa5LO+8IWG7kWSTxdhOrhBqlwBtsC2mWtAs5zPh5Tr8JvItNS81W5H04NWi/m5d
x+7up1hCk5OZ8MNLVTJtuU5DwceodTguG2Xi5tvRCJkpb2RiLmLmoR63cw7ZqRB1GV5WhF89tnaA
8DHNLcZYYV87FzBByvXB6doHg0yvvnS71pxZUBMh7DAT8DasyQ1T1PSYuktvRyQzowpKuLKGYiiZ
SqhkriOaaV4TCvHhlK5dclEGGilZZqXHOJycO1uRLQfhZ6ohP7AZxgRX7MJzytcmpwb5Rgg9P7uV
n+xGf5Jbcs4Bs1l18GJZVbwwPLMDEn7gulefmBXC5sBBGz5hZ1Xfo2lxvWtwKHdj2Lcv48wgO2PE
Ly6dfCmue4lGNypaLV6lrcQLsjnrth9cvFOF0YzEys4rDy6exmJnn2OR5qUBkOUQxv7FBVlsubKC
PGLp7LwOcf8puzYmbdgUxcrqPG/+MKxrXwWRCtAFw8S3wJqMFBxWulQvrR7101TnZ0+gBzrRpl58
nNpiBujToKV7WyfVRiTUFNPXoPAqK0txGsfpDrPJ8okc0cNWkjxmuUTCJx1O/mGGRHrZognxyHkQ
Zr3O2TEs+5LAq+w2rVG8bcPJwvJqKZavR8lacN3zq9LnzPNNEtmiCvQ+bcdzKmHrwDums37qsQS7
USq1fEyzXJAvprjKkyVvHrqFXA6e/RXNLDNc8EJncXi1juMpDVIVhb3TXNlF7+ylRVWQFuq3Ivez
j5rz4C3pggyfWMb24bVsG8SibAnjZANLh4qQRC1x0zjteFLTzDQ1a/BWEyjWegl5GmWIi9H2+sj0
mJjG6ZzT1rNeiZLCRzrnJK57287h8DDBXzxoKdO3hs8WPf3Z8eZ4VV5jNg0tj5hhhHs7G0ooTjhj
We/JwMjwElsFYoTRKf3nyTGevcWhIpyo7Awb3CLwsaBy0d5qdW7Oar9HaNaDiH5MlzkuSPMLM36E
7vpOmOT0IfkuvG02JTaABT7vZqucpj8op5s/iBNgl5OKXN2lCRtsClxO2Gw1FOtjl1zGhGj+LuN2
2XtYMi+gdK3pEXWDuqFpCOLLNmvkr6xunG0haGe2FBmMXxJCDphiY+T4mOVZB4NrVUl+ivGuLAju
jEJ+YgNqCSfPdrzMAvfDmptfvL7edZ8X7H0TYXO7o7sm14YslGYLUns/2dgJN8zvyztpUwzt4tZO
xWUfJrG3pyO2caukVkZXRXvjRTS56yFUufxwBy6waB1G+lcIJeq8gC28nEYp9JbnLu5RxlmDE2Z7
8FrJt2k7F9rCKN7LuQLlkrhwvxuO+VUyw9y4PwpEghR2XYWwqXRhEGxAO7RVtLAigmghvf5DWdju
tW/cgye65IWh4v9m77yWI0eubv0qegFMwCXMbaG8o3d9gyCbbHiTSPin/z+MOWem9WsUijhXJxTS
hSLUTTarWMide631rdwj1lHH2TZMCTXNDZ2KR1mZrMaUHy5kg4Vui96Nz6gbIjagvRkx14iY/aVX
e34cRG3ifyY4RR8sACCx72MsFKmDZlOi2Rf17G5Z7+o7/O/eEdPgwHKaNtcaNsSt20t9XTeOQ4IS
WS3fTEkHvyYcWHI3HUnppEzUd5K9Trv1Tb9t9m5bYrM34vazbuf+Bj9Shapl6mQIRIUzd2WOk/5u
t4O+xrJs/GD9PN9jqSK2BVvtjBfEQYXB4FzE4XCpKN+jaQmJIseXPEGB6/eZ7XxXHQNP5kQuCkeJ
lyfmlmRKfafSnIm3d6yXeY7hvjBFmAXrxs5JPvM+KQ4KXChJKY/XO2VCxil1JTlfHwuh+Af1VX3r
cQxvk7aJvjFTQAvg4ec82Nk7DfeCUs5QMOiXIGEAO20MuxKHjIbCB3LU+q7x0GF4cK6rSlk7Iynd
zw6jxj6kk+hg1dl+BsQeYZbI0nU91uU2LRrroYHTArDH0z/oBihP7A2Hd/aG4doOM2QMv530kTrU
ygGNPhvD97lzOmJVmSHxHAhvYdUwdEmTnz3oB02+i8zxpg1hdAG50mr25JaMTcbieJcu+Ysa/ZVf
kzq7HTxrujrs/qlkhx90HrCM+StvaOevKVUZtb5MkIGwC+9xEo5znkxKhhwIStyJ8wWjn+lrk0n+
i3bNZte0ENE4TIjtYAojpSy6i3J4iMK7r9Kgpls53BWVD6HXmHYypxuJsN5I+qtm+QE9vn1i3JUY
aIjHBeOvdw50u7VUIvvhERFDVarme9Sn+Q12hHNfVljvVnoMm0eaNomKUgc4klBxi0cs3okqPwxm
VO/i3HBuusw2+IFGD/e+qEqGHa2wt1bHchqrvzj3OffTzrXl60BIEgIygqsuXHGf+3a7l0UzUqSE
cDPqceEFWZm9ytzSgaIX9ZpAYXNllQ2FoZxMgn7L+kwN67oET8NEI25hrDn4vZPkWNOVKK2p21uj
e0W8GShCdu3TJEyDQcqfkRss+kLxzXFH7hN8GJG26TmMoVbpjHcONWo8qNINHxnvpdQka/mokTIo
LcpG0Vse8Uj5PVjFfnx0HBB8g6pYZku/EzceVGRMBqkzXYYc8jxPXMBWFExup3Zphpuj2qSNL63b
Dds0pN1YvWmppz8KR4IkGeWsnubeZ9qLMutFQovfuUVGE2o16/va4f1vyqjduArD31HSmwAlKoYW
AHyUOWfO3A/KQ98xMyTBWBnsC4B7fVHyHO54PlT3ch4GxqFQu+aWxIoVDi9tysHawSXGMIj5fSdG
0bNgH+/jKnevNRRFiJNcBwhRxlxvVuEgkhOuuPLg6o33pbfWrRYydit0BAaycLp1bEC6o9ZOgaEA
SS6LkxQRfhePaXtwxpnd1FTNzrNjFuINfEAA0IOTJOqSkyvbejdx30BrYrDFhiGmjznJrSc8VfqP
oek07gO+uO3mZEeT8dxeaw2V5BL3hHf4WvG+mPPvkliT2miWGveM3tOP2EuL20wJc4/vQm4auPvT
nU4jpN1N2GC9FooNyFsKfMdZRCbjMLRitHZ40jhIhu5Otwq0XlEaHHq/uWT/Xxuq/7+TFYjp6q7l
Anf9m7Kq98/m/R/v5ec/ru/Re/OP/TugquTPSP7/+1V+d2Jbv5gWRmxa2tEL4MMDF/4/OgPqAiBe
iz2H55mLAvEHk1+nXp5dgYf/zYDIDwX2d5nB1H+hKADHJxR/RAjdMv4TI/bP1Ffh61wGHaqw+Jf4
bIH+qjGkacuVIczDzVCnqzSFfGDHWwNbSTbav4lV3/8VyXlxsP9Vz9AFagp0fBdRg4qCn75XxJFb
1UKFLICrLTkovMxyjzkIwVZsZ1++Ffg62uGFVYTmzjdRgQcqtl5z7lI4PE9jXm+d0tz/6d27/U1O
+Qu7/2e0LzcWnHWmTVMP/8PB1/4XK3oIGNWnbyrc1PG04Vg95Ny9g8F0tziEOFC5IWoFGVlnu7RP
I+2vYcmhqHPGiDYg93j39/8g89fX/C+6D8IFZWYGpT+8J0L/6V9UsOpm7xSFGzV38c5M7UMEt+/e
9o3whnprCjCFlt+wAOngODnzkXBGQV+3IH8FPpc8VPlNa0pxF7ZGfrIwsZ1sOznUbrmtx66h/3D4
5o7fWYKte3LoTlVeHDbb6Nk4bVYTsV+TixOmso3FdZnt6UqB6FqIokCjKdUVF13S5VjjtLLLdZrb
Fz9D/o2To6PdD2Z1P4cFwS0bu2IfCIYSTe/WAzNxqZvHyAl3nazOGND2CfdF2bxOhXYA7RHM/YfG
JOR2bFYG61hz7TftfeY/913/0mPpWHGPi4N6dA92+xwOlGlOBPf6amcB0CwoluBQuJvtY+KmV1BG
wayzRRQT/X7hUcTtOkPH98McCP/wAF7tSPfAdgS652QROd+iXfBL01YbgNiY7ho6c7BUj3d2c+lj
Z6usH6M7rMnnBjlUIKJUW7DIKyVeHM8/ptjgkQMORs7ciY/BSHpi+nlAI+u+ASaK7sDLw7fx4Z3K
4b7CVcH7uUo1a9+1GCDnYckZM7mmDXDZj9i9McHyA65h/cfUxVmn6/6xtvlk9h41bQUX9IdsqPZa
c53qZVCI38GjbWz7Q47VN6UAZ/Xs8VhQRP6NgjTkT7eYx/aeQQDRI4YE8wCvWnfVfVE/JC2kTbfQ
LpPknXM7WKF1Otyb81i1uGfAELehf0vnavV9aX5J8L/zohV9zXKe4/0Lslx8Z+I7fffxUdI+Dtk0
cDCoJEYYH1gWPrhGh2zGSvigMNS/DX1ZcW/1ox16CVsgJ9ejZ7KaGPfRCle4i2bs7JnB/j0UXfHg
EbnYGo5y4erNmsWOcVzcNdiF30Uz5XtM1ASbRtlHy8GbnK3OuhGNcu6auXfvW7OQ218/p/89JP9N
o+MibXNO/esT8rb77L7HX00z/flU/P2v/S69m7+YRJBszjBI45b9pyNR/EK/gw7+2jGADfz6//x+
JBrOLy7qCCQeDkRiSDZ6+R/Su/7LcnqSokV6hwfh/0dn4j+Fk7gVeRxPLocUcWDvJ9i7qP1J7+oO
3qIn3kK2fcobStaUncu2mPRdJhcGh++e6XP9/qdX6n85jX4+jp2fvvWSXvpTLmpZjmaZruSGZUSH
zX8pjEzpYc3Cj0Ea3m9z3r88kc3lJ/nzSeNyBTcAIltCd9irmD+dNGnYp07L9WXbp5l9jCRlToiG
QEw9M9tyIXvVWS7seKflJs/BJfpuT3q41sW6d7rXvgLqZc/Rc1pkt1PrXkQ6wlXjCdjq4YuUgN0z
CZgjqdKTYZVq8/evlfG//PNJXkLmh8ovTH6hfkqRmQ3xE+g79gZba7XHUY+Hv2q1ZgW9j2OHI5Hr
KoRdckUjkfc0ebCpGjdH1hs9JfYrvZOvGX0eoCr1N82GAGzZO5DmH8syZhUXyQG2Nu2YA38WUTld
ld7M0nTwWGvHwBq8SR4iaeqPGroQmZyca7eWr6c+WrkzGScdhCmrKRHf2yLdR9PwQX/JKsPs32Oa
HEN6iKMku3Pj7L4mvGLLT+x+mAPG1bcxGecdjePTumW3d6kan+s7jOYDzX5Lza1T7hTO+7Xw+GFY
TTzbjWEBbTejRyfT70otT1YwiuJ73L75Gd/59A6E3N1hvRx3I76ZE0Q8vIiy1F0UXBrkbKMj7d4g
kOLnkDASsmhLNSDiuRaysNeG8Aywf0Z1TdUtvV/2HuRReWxV5X2zdNOlQy+pbjxYy6vOh7u4wuH/
bSQauxFDbH7UYu6/6q4FimCcBopmroNOqGqle5ChUmvhiTnmfCxxf7BlpjiuL42tVrr1J7yXzySq
nAOeRphSJssFbDl32lI8Wk1sHmnzTejSkbb/FPWYBFzeGkF19t7ADRbUaZjshyJM13mh5AVn0Wbs
qkfMiOX5738hzZ8NO55AB+AjbPMraVKmtYyaf/r0+hH2VBiYxqbL8zJaJ2ImuE3xTJxhNGFepHfB
ekwSczzPcad9iwF8YPTzJOzghJmI9qCn0QRv14flaQBm+sVOcXqwQFTslKCt2/GVfh/TZv6iZNdd
3DHUf/z6I/z3UPt3hxqxzb+99t18Jip+/8uB9ttf+f1Ac3/hwODdx6mFiIpv6487nmfQNcx/hAFI
ml6CpaT0jzueSaT2V8OYi3CD2YzT4I8DzaXAlJAtf8fw7eUm+J9c8tzFlfaXBz2RBs/wLDwLnoV7
7efUK71r0rOrdt7WeSXBDBYiL1fNqOmX2G3oinKVv+3g8G9YzcfFxsyL8Gw4rIhCFPMTDn9oNCOO
mnWP3A4BYvl8m+S9Ojhlg9vswGw3l9FIYpd2x3bcEE70QKgkQ3PEBS1fAXLn6w6Y2CGxchYiWQrn
uOgJ9yia1iXsqpuE23O7klHb+2tsKsgCBcMi/hjQC8PKtBvWO6aX26dkTOCvdOQBN2FnaZcB7qTE
mt4Aeiv8UftiqG2AlhI9/Uh8+rZ0nTp5WD/Jsep8TKxFNvNh4/b1gscbFwvGVh5aS/4VomjS9GQ0
rS5a92mZPqdt/jbMenJJmuQxbGY8BVHRw69xmncyePHJNmV8HzbtEkSx84uepOZu7DW10d0l28hY
fOgnDVMMBnmOpnwL6Gne+Lx0GyrJ4wBMPTyUMh7uG/Z/FLB5lJuM+Qm5JQkwL3+yzFxW2ej1oSfS
A71nOUvFfvpGUY5zjgW3HGwrmM+DhI7YnLCbZR2zKiHVhswxJyvVkYjBZiS8k9ZGSc3UrTFV57mx
PH3GIUUPiF3vyYhm/daZ1HjvIw76yJWJyRlJJ+UN5yfDtod/+r1y40EeoIR1J4qwTARvmPo3lUf0
H34PYIVV0TBCnIbayC1y0nVsrzTX5lI315F/q3rSroHTura3LdmnHYkTp0FY54VJIbMnk3XUFUmy
dWxlEZXM0mvkKxM4kpZ+0/rO3IYKihfCLCwt6qvze0mo+aluldiI1hvPmSr6m9Zwc95K8LzoyqOH
kACWq3/wDNhvlNFb5gtmZee5qg10znpojDufGvEbx7QxHoomrPadcPN94dt00AxdP720uhl9SJGk
dwr1a2OBfpSbNJkm6Az8SP0WB02FWpI3YcC5l9zHpEb2rZvpy+1y3BagGfMgzPpqL2u3uhABazHv
PZj0v0FoACuvxc/VIMeggr12hWAmDwbVM2+ji7IooOuwkY/xa6ESEwi6EjUycFaP813GRvqSSo2X
TGuqAMKdJMlKanOXC2x4244WvN3QNEDZplJjmqkbs2Er6qcNMSLExrWt6cMXDa5vLSj6cyqt8jJI
fzxE1GOzE5pdue9UYZ8rmNvHErejWpGrD29SRboc0huHFVki/C4UMCRu0OiJe1cmuXo2siZugxGp
86J8o3kdzQXZYTR1m61cr3JOogafQezAVN2Bwh4HfbO3vOkbftTEelDwG9eKXdFn7uNWjAJDOk7N
KdlPPg3KEpP5C90f43iIU1cYJHt7TxJFsDOdrHoYAsKpJKKLmFCRW7fK/NXQuV5xTDS+PCpyPz0B
XzHWomuLF8Mc7eIYVwmNRXqWpWiAgma3pOMxjSPBAmJDujV/QV0adp3faAIGlfPcSX84GzS7X7VB
L5/yRggoHwwHmB3zUf903dTdKbTWS7N05fSkobd9m3IxxoZp3VTGOH2UuBbfchhvgdsslX98injC
wtPy0rZ+HBITo2quz/jEgtyW1WfUtxV7Dif8SjU17TO3mz8bZBwEBJ0vjPpuRJvcImq3GyNLqMcE
r4gHg095EX1alTfeg8zEleUqNTpbJPSZFVNqGeuWtB3FQWBDnH1oMrzRfjsU+aVECzYPBb77YrPw
/dhvZNH8mHa2WSBi2y3OOLhe8Vp5duPsTGy+feApP7uMAk5740bWtiapTIIetMgK+bzaTX41B7pf
8Vbm0U2uivzceERgQMyNI9o/mD5EXz6vg6qPnZPOgBSA5UF+H4sLRqThiYaH6NyyvQMOyR7uW9fw
4wQN+XNKAIaxxvXWSesUaRoBLukWBBOKvKaEM4vKoQjCpJi+62Rqp1WfTf5HLCEyEWcmMbWq3Zj8
0SQhljG1zZa50YtpmoDnCOSgDB3iXrkuMAKwWm58Ch1cq0R4usjnBKvK5Mat9OY0FPFQHVKcZ4eh
Nu3hktvVsLcEsRlDacUJNyWjachYu4IaS58NDCI8DnF7745du1V5o7/Ldr63cVJZsKTD7kEHBMpd
VFtMfkR7F5hU2ZPBx43jvIPDJpSa1aPzQq6y8wPbqUkHZWiyGFOkM9OeE+v4Pkh5t4E+DdCpoIE8
CaMdHlo/QqKu+ql9cCzdP0k+wziGTfveUNJ+0ZRfnHhg20fYHWTA0iaCnjpdZj+3QYc6bMo8kZ0p
IjqaLR/YlaKX8LPIK6y4nWVjPwMt5ohrQsGNFhS8lfgsUdggOTXQoXeQ5awfDE5seWqi3NOdRVHT
k4itfvnqunfKjMKJdolVWU/piDFn6+pOWyOLI0BvmkK2N6R+4QJovem/1Llf7A28EFTz2Lq09kKj
IisItZALjRMzr62KosnEWsFeWzLINK3fqBG28cbrVf6GG0i/aVIEo1VhdTD9m34qmSF82Ai6m3dv
kuj2TWfOCwsqnK0A6Id6ULOtvS+3baT4TrnJposiHjR6QR1ATMm3DBBOaT0vGnkMY01Xe6fGnRBk
cae+VB7jSiCaH3mr0PNtyranhTPdYMOFa6hJIM+xHvPAdmZDU0HaFgNXAL2eQaSTZF9Fwqg/ud6I
jE1kXx2xPVp1YA/yu6fr+b7G2Pi9I4FLAnmks4NkuiaWMGExs8wkN876X4/eRBhB9cBE/ALLdy5X
AF3TS29UT94A2hOFM4mMDegYcSJElW7Sok87SEXlp26bRH5Ip7/OZVUdGrlYDvvO6WDXYnojGVS0
q5AgOs8UpGFQg6z0tmXWyVtErZmPfNhqSKhWCsE0lbJ7oxq1YQmCcmFsIVMOr1NcmJSDZUYasZux
o5Nme9FTNzrxV0cVLB/pfiEVVl01IwnPJb96Y1TI9dxSxcVTuVPIsAp0PUsRx1+HJlvUntKiZ2wc
rKKtGD0bxN6qljk5uGICfjHFOwbSfUaqUK2aNC23KImkq/WZGEY2thjDPeC7pEdtWm7wkq0TrMf0
j8E/t+G0Bpz7PE8ArrH79qyQotq8Plf4gR+Jb2HrblmWW4Y9vvnSyfNANbr8iDAzJsEcx9b3sYCe
HvabMKvmN8wrXz2eYXhhVN4qnD0EixeX/8qeyDT7HZ7+XYjxSif3Gc+7aYrNZQ/S6K+GzWn0sliQ
WTWPlrjFLOQdZnKszcZq8lzuo7Ymijz4HZ0FnV9mH3UkRrbyPCDg01WECDGAaT1eRprqGo6LoOUM
OIxJXt/T5jg8h+0IRnIAUYYjgykTYtYJWASGcJYo8bTXVOGNREZKUnyl6Q+PXpaXmBBo7NlZblZ8
uLA0Xs0ko6kHvoD2BROmYOqkAPQZm3VzxxNIN3HHWzVLbWrgb/V68M+2jv98zZbRv83SsnnQDaDV
uxA+GeE4GiK+OeT6gZvQXG6sGdCmN88b6+8Y6fl0YFyR/okPHoMhnX5sr51OPQoDiD4xWPO2GA31
5FkemA6r7nDOWJEzcc7SgEQnjebvwP5QWdaUA5T/WO8+7Zb6+P1Cwzqx6qNtTweUssDoB1YR+mSV
/TpVqOqmbsb7PC8wGGnKjV6XOmtAJwMbtbzLeQNbsKekrUvNePc91R0NZ4guA/HsfEUolhGsbyPm
gWImVZ3rVkhaFrl4RdBAnacQfjlLsAlL34xryN/FpV188ZAgt8q6/ZJ7emqtp1GWG14zGN6QDmE6
tvTIrwFkhiEWvuoZPFl/4sMKQDgBONDXlnE0wKGsPGhvq1h0w4anKgwWVzMNejnITROjTS3cR/MU
PUEX9D8jCEe86bGTfYAwS89NLcBfu4kHK6BXjfFhdQn7Rj2OgkTLsFFM3BsxkNYb8gWnhvpLwhp4
v+CW54Bz5/K2cp3UDIDZgH5UlKqsCKgfhkY1aE34YPychdaCd/+WZPH8MeZLh2RNr80Fo3r6UZt0
vFFuFj10hZG9mmGhPyRDxP3P5Qy59mB9hp1JQqoNWPAQdOKDpZtbskZkPJKGtRkfi81YDDQ/6Nqe
atoJ2u0DJlvYMFBYpjvfNTziUTVo1M713dMU4Y0KaCjIn1VsxftxZrigMCmfF+OEij8x3DIsVqRk
JdDGHZbDmc1bUcaniITXrbMIKDlvwKMv+vyB54U8RxY/BpMRHVl9FoPKGzhwp3nqH7HwHQENc6My
8jc35Wk7+nb0gHr39PfLrn8Sc+GKkaZFOkZ3cp1lrfHnXZdn8cJauL12WWOkd/WA7cGGsLcG/OIe
yf4T7CjHeP3333TZR/95X039L2hAVvJLf7lJMu6v39QkVjqHbjbuhjjKz0wZ7S3xpmpt6YS26rnp
tlzJHAQmSmD//jv/02Ke78zaxEAPsF0fXeCv37kWYnDZH87keWuLUce1gW1VjnZqJouNZe6H5ed/
V3Flm7TTv1vF8Rv1t6u4265M3z/+sor77a/8brdwflnKlVk5Y7ownF/Dm7/bLaxfEAvYznnOb04M
lnS/r+IsVnEgpfk8ej/bLXwEKd73xYjBr7mjm//JJo6N30+/wkhbDsIWDCFb8F/7J8klimCbJ3B7
dl3Xq31jZN17mdBXtgwHtxbtqKdB6pTR4KM+lT2Wa54E0aEZvfTk66URQCSiZ6GcxKff6CXYS1fb
uuweWZak40nLynjDFOqsuIiG2OzZiUXj/O509m2VJmuIJNPKGYuTpkFTYKEOiKiiZLbxE3YKPEMZ
D5+pcPkM7Q4SmyiOmarlDpSysbCVsnEra2SwyfQSromu8ZSLRPNWMovzI7fI8gK4cr7hEVB8p9OA
VJ7nOB9TwlnH9xtuUNY0AKMatvnasaNnUweyROsPY+rUJUTVwuwbOm6+poNJ7mgwA2qSMWB89rpF
hkFW0YtdqOGglRWccscgoVcWdzVlxe8UQrfH1JgKzgJvvOk0zwP1L0ZrpRS37BVI4+42zsdxr2VO
eaqiocN/osQI7cokkdGm5hOoDmx1I+7o1IquKoaRQGVQtdMK95bdRf/UYsv4knnSvCbOYN8VbBZX
le752MglFaEN1Rt01CUPfVqYB9+cnlO8tLcxMSS2+FIcMB52p7YIk3Mfe+XzwE6VbYOOZ19RmsSv
RtBImb4P+Puucexxp5KJYWDaHdz+AeGluNKLALQw9AIsawiTnSNfHfyp3Jqn+rszhz/oyPTmteuP
LzEsqywWx64zs01SG8Zd72X6JoFBc5u6g/9qO2N9BjRinywsqZRpzPknyxPI9xm8qZVKY3GdSku7
EjRk4mBXLb7XopM7rJuYakcOHuBQw7HQ7fA65JRoIKrgRDE8g/ySZl7k5H6FzckwX62U76xDl3zg
3lsdc6HUeg5LF69J2tUbIvUR9eB42ecVbwL8WKfKrn48q51P3dOTOefGDaD+JojsSr6ATZqu+eSH
60ino2gyZb+OuFUF0J5ASBu8QQwipn8phq4Bll3Vaq/HIbDpEgRDrjk/usH2ri1kgo00pb91WjZv
MRPHoeU8unIMPRGrkWs/EzQIJ663RU5yH33GeDboBW7GWJMrRwGACQT0Je7m3IrShjuCpCRlO5ea
FoxTR+JyIoLpdJW+sWc6fyKiXJeCSpO9CUBol6d6cShmUnxjsyssSrJdb64voRfaa5F6gWidBW5R
72bgE1R2cQMB/cVVFH9S9SHiacdcTy2FGIljdHp2x9U/4f6swMVz17Fx62/xlLORCZPy5Jm695Yl
NEpyqSr7O4pPh3unrN9sp/ig43EjZnVWpfs9hThzO4eZt6+1xl5aM0IePstXLBrPCgZjyIMaU66y
7z3Yj7DkMOCg904PkZ+0K/AOJYoWETv4ip+AD68QTsYNN6syMDpMQpVTdy8xNS4r3cggUGSOzsKE
lUQ1lcaJjXN7xEttb7q2dr9aLwu3YIqsCzdhPkwo2puQYfPBQt3e2CNxAXvyR8jvC5RKVGRF5nxp
0Zi4d7F7GV+iIvQOYL/jTZ4hNqKJV8eRfHzgZr3a9TD6D1klQFoYSKoHRUHELuzC+daLZrHlmgAY
zsJ0PgHOBEPDuz1lIg7ETPDC0OJ2l/kSc2joVqt66hCQO3ADlC4RKE5haPGnq4nMMJmKQm/JhND1
8sJcPwcwTutz6w/9UZdjeSzzwdvH1Od9DKJssbfDTIaVpN/zIcdJirYSrlBmHWy05mA90Znlmkvd
TL3JyrFjZWjH3hXjMDCTOPGsLa2TLHBCACOjXzxZg5Sbekp2Wm7grMrUnmWUu+bAEK99qd0BQrtO
pCDCMA3iPimXjQeksNlz0tcGKx6bLi8NKOBtt1WVAsNocp/U7OKPt5qYAk6/4/Pfci+Cf5js2lLo
t8rNN5nOTiuO8FIBXIHV5J67FEog/D+on5Z9SmdAGihnD+XcjydRcXZjarXbh1hzkmX9+Jlx3dgP
1VJ2ThA9LpO71KJeM0tJsc+L+T5Rur1tq2HeWXD3dpbgCS6IDwZjiKu6KxCe2W3dxb37lGI4JwLJ
F4CmVU+vdcpjYxWFRSr2vQNFjRVOGOgtQQuakHatrhZxJZy+kT0W97qT9ye+epB7/T7so7c246mf
J4+MrFdYQZtKw+pV5FGx4Y6nAysINfJmKj5TdpweiW3bBzclVxryk7+IwrfelJUO60R62YFTYl+2
Yf1AVU9DlSkdQiAL+wFRKy7rV6LIlJA5U3vjFlN9qjS3/UKg0Fb85i7H4ISikxXlVuGdodVG+ffK
SZBkxm7j6N1rZwKQS4tTN6Tz1SgiHAWxyTGbl2TZyhZMg0wqwsIpD1VIL4QZ5YJNUWeUHxLcBHnN
uDVWdmrtKqqqiS9wRZUpyTUtK6BgUrDWLA2Ao1fDV8Xaz5/6MtTkCzyb7NhYHJnNgxUN8lwTHh0t
eFTuFBJ+yjzqWIR5Em3jlbt+SFqHKMXQvs8cQ18p6VNiE3p+a4ARwJ4IHpLjDcDDI8Cu9jHDb4sZ
ccoK2jEoBL6ber1dTzVyJH0e8Vq0lJCTF5n0Zx491GVTPLhTslQAiqZhp5ssBeYlb9MtvVQAb5wH
LYtH8n/TXOycCDf82orVIy0vHNLSu/E00dWrwtOepwQuRF0xokR6/ZXX4/hYF0T1uM87287OOb0t
q/DvEF6fR2ojqrInqV7GV+6RWyK09ABZ3SucnacGJwVAm8y6w+JUbUsfRw7Hnn8p4fAlG5a67msK
wWpVMVZEIvuexvbOqqL9rJJTm7j7oR2wWHJtjtazXWDMA6RbbCICWjk7ugoT4tbQ5Z5wxi3J7PtM
j79zoD0jin0qYe8w7YsrpXNyG2FIDZy05nd3mg3OXaawMMaw67jrFIb/pVb2AjgvaCOabHkN6W3O
WRnGJM5dtRR2dddIt+eVi8nRYLWR1utU6NYjj1/vPM2qAyLYazb3eb88GAZTpx1fgc8mJw343zrp
B2tP4EC/Y4qbHqo0n7d2P4hbw1sg5umnHTHAFqPdwc+DRifz7uKkqjpqMRF9JQQpJ2VSjgSF6Bia
yUKYMMY9Pd96UDXaOyzbej/JPD9zc+eIXuqNkIZwDClnXFdzLM5qCKEna7Y8ojSZ+7oaSDWEtKtp
I2Va6eg+9yHPP7NHCFxlkwZQALH7vuFieOOHBtiRtHr38pJ/r9/Um4HTh3ywc0Cimyg+a18l0jGw
ALFOzNZe4YGmGi9LgeIb2otICu+1LAZtk0BSeCrtZl04i9guJoRCmELa16iFiDCJ4dwBJouCkf0N
qz+WsUdHZvm+lch1Xe/sAVY4vKhFdA4jjVCXxyEFdmBttWX3UsetPIvEo+0gqVAShVw2zY7Ulg5l
Wq+GTG2NUDb87lDhFk9FGBCr17boWn4wC1vs6r4Ln8oplncknqngozqWEG5tXZ0E/D4zGB5XMy9f
moj+GQsix8I8me4J4OirPmnzz6owoGMlTvnDZ+myGweKqjzJBI1CY5+BkM9IxlpZvCdmEp/pe6KO
xEArPEGKTB6iiCmPPahMnhVBYR61NbJ9F9IAm+v6DlKYfjVcvF9dH9F0GCt1COmU3+t0JH8r7dkg
F+ma6wG376ctO/+qebV4ngyDMEc7gKq1OvVGHDe6z1iNP1QACo+D5y2gCKy9vPSs61gTJ/DugMYo
tRyuOGBVam/nRsQMbEo9dzEuKU2Nw9W1UB+cQZZXW7XqhNHd3cxh+DWUqM8o4/iLy3xidMOMv8WS
5r0ZY4N0Rffh/TA7ajO2hjxFKnWYPx2Q6a0Q37iyys0MQu6rbsHw+FwAD5QMVDdOlCTX3oiTvbAB
CuDwk8fK8nVODdvfjqVkx2Ymt5k2lEgUTOYeSWxkUYMll+mnV3NubgDTmktWVwEMaIujN8M7WNWm
f2hZnp/F0GQ/+EHlJvRr95S5Mf63vKUrgEjZDxHO31vI2ytPR9Cr4cqh+hKP4ruQqgRGysRYhqcw
jq49zdBSGv7FhCy2xsbSB3jkkhfCmdN6mPO3ygN3SVrfvdT0whdiTrclWlxQmWo44cnxgWyVX3LA
je8VNCe2/rShedFf15NMn+PYxCvsQtVZx3zmCPuxtieyBFm9awwgQFVGjOx/qDuvHcmRLNv+yv0B
JkijBgb94FqFh1b5QkSkoJZmRvX1s1iVfW92jWzgYoCph0Y1MqMiwt1J2tln77VF9UwHKG7s2uxf
YvICK6M1HzMYuzu6M4Ih2lt5m5+isr/PBm/jxwM3l4kjuWnuAKVM1yma2x1lKCMi7HibOfKTj+e4
ysYS8CxxRnbQndy0qvWZuT1n3834IaHALEE7mw9qEcF07zICa/R8zYl5jbl/bgtTQGhqg3SHZ4c8
WGOILXNedCA6xJrPSbv7vqGSFftKe+hlSHugm5VUlMnsZPWozm1fBrd6npw9nFnCYm58QxmNGfO9
zPiUjprYZ8GuepPkmRA0dEcyQkEWrxD+1uOyMm4LQoNFXcTrujEQQ3P3kNQXsPf44uN+uGCrCxAv
jbF/lG5WvQP55OKxEyv61uHgNlZR4tP6SVE0zZhmn92XnWU8jI5bqvLYOT3kA8iXAK144691mVfX
TGXWV56AHSkq4oZz0vGDZ3kLETy1RkwARvhGQ3r0IiztbNueuWWl0on5lJZd+m263Np7Zaj2EBA8
PDVjfppISh9dGJlA8h1nr3vRffNAtUO3TnT6XrNBZM9SzuwIGi7GnpsnL014jlqrPip+yEMoBnZZ
HvC5tJYK82jnvDFLD0QT0vJRtYNDW7IgTmZVNfQFs7u1eU/vRSn4YQinv8Ri+NEUmdgyCaWnxOyt
28ni3/QYsaW17R7dwF3W1uj9tzxtrW3p9GTSogTi4WRcjIzW1hz+w87nYLEKrZY+FILUpImhgnFM
z7hszSb0H/1ipCexFAT4SfremHSp4ffABBW73LH6OD1APMlPYWfTPafqp9HLP7pmuJmn1KDKJf2e
50529Nvupuw7lpcsCZqVPb5Khh+Ssysf4PqNDqevdVsZpzRLkj/zL/+/LYj/i9o8eJA4/6mi+fCR
fUiVfFT/IGr++VW/RM3gi/A9PwRuhBeQuNjf7YVe+IXkEsshF0KctwDj/p+maX6xLEGELMS4hBq6
/NHfM2T2F7yKxMtc2zYD0HPuPyNqBt5fja+WoLcLgBDKuG+TJv2LOg5pZjQwF8mdWXplsTeiUUY3
VP1x2pMhzl3crwDR2K9Lbx9mGYjhFrNvtSkZHq6yC2mwL0UcnEWf27vBHu2L14Z5umbS6XDFwH8D
0c5U3K4zXQp9Cctxp/3MBmbf+oPaw79Biet7+EMs4o0BAKUT3ehugEtHysg7JiFu4a3WZYkLF5Lt
+5yOUD4te4QNAIqVE2BelxCYzCqKL+SgvE+bFfSWGPqAnS8M7uackuEWisaW8HxOwJdq4qbV+UMv
mvZbL0wDssdYlM9mEXmfZa6qN2JUMKYnoReHHX22yS52ZIyW6WevRUB536qFguSumsHPg73fl+Oj
NE29J2XeiYuJ8+ud+s4IZu80vtuBMw6rgdj5NUWoNTdlZWXglSoFRiEXAn5woQx73ngY9gq4sBCI
Vn1nNfQzVHZzy4235YZi6fC9qS07/jArSsfx5k9Gvh2INGDHwGN59RwKQgNlZRVbpYRaUyfkOpfS
LuiiKHs9bwySxvY56CeJB51Vv3WsAfLR0825UmuF6CCUkvwC3K+alTnST9Vipfy0lcYfkjnNHfqc
8z2xrPGZfLLJqpjnZ7UaWEeeGjBD9cpuBhpDiqF5wWJe7PsZtxhOBQ25tJpaVqAmBOOXRMfqpW2b
nLj4HNI/1M5O/WB5cdZu+QnGl35QxV3VtMl9brHo3kWTCg9JquTeNsf4LYvHxTcmXAQ+mAaaNroA
L9UrslPfnTxrsIw1607D2rHLnsTBcPrsw5V49zG55rF9tljtssBGh+c9s3pjhSAMGaPtWaoDC52a
FYdDQnAND41opSYfATPkUfWiPUxFa10M4zsBjOCSpWGYczzqIr3t2fA1fGAn7BQy9wZEpg4Y3H4o
645pbGDm3qq2jPONCUd271AkcWEeE4uCEzznmWQagLNP53Uly3Id9uV8F2V4+x7GmLwajBn7kLae
fWcRJj+PvZl0+wJ0CghkCnjeQUvlZ9+n25zzANXWIA78jVUx8O7Q39QpjSYPPtG4oK8B+W3Dqvbe
wzgjnFJa0BrXtTbiZsN4EA5ruxHFzmtFdwzsUWU7RAe9M2tTE7AkxMUpblDxA/wvKFdtkoVvJoSU
1wxwyafXB87ZH3qQglR1BjyaJsAndfCqe/gYa4jDzE7Kcj58F1TbbeyQEECjGqhtC8dC37bVPExY
JLVz6nqn4xFZMLftGFH0m1sn8jPJYmbKghmhoCRspOxK5LO2D/RsTlQ1eCbfOcKPqGF/cL49t008
UOiZ+riRExJI/Xr0QjoKRlfTxpPmtlwaxXiSTlBvrY1oREeaJmB7u2K3u+RJTDWB4zRD6lsw44Qf
tWOk4KkaIzqIMCm+o/lYtP3E9qXiCmeGJoT+rfO8+grOyd2PJvUvSQjVgq2E7XzrwGHcBpPvOaCu
vbS7xhw1vxpzZVNR5sg1XJTwQpVk/MwnCoRDGfKprLq53vEwmd5zPRXXFrLtsMZz4vgscWKxxwpW
kdjw+29Zh3/Qj2W7npj/tlUyskzWmaUZX5TVexeKiuZHbjZu+YRrOfoIMiO4wn8i3OtxfjhJQNNv
KWE+TOIq8KH3FKXx2sLkvNLgaaLBo++vgqzReBXg4FNU5McXk8rp78puQ4brNhUQSohEBS/OaGQ0
aZr0wUHal5O/d6qOywxIKER0VWHRu+n8SR38qHafgsgqKJUd4EpRDJtvHCkV1dlZnZxtN/0aK6s8
2PR2rpRo9Ecx6uZRD72zFhLnBbQBGni5nZUYEVocdkNOf/0qpv1lC626/8AFZtOjSUvhHRsBLNDQ
Rns2Hso9+kU7v6nCZ6dhwfXaWo1dV4cuUk76aNK67fJ3o/QFtQGYtk6CYofz2D7mo6DzGSgK508x
mNZ3dEz/Fjeg/dUw+vJOTFZN2nTUL0U8BuldmbBE4ofnTEfScqi+ZhTDH3BtjvZaDw3AOQx5a2Cn
dbCFBIk63vfF4D/Fhu5JsaYCm3NZtl/dzvG7lZKyS9ZRRs0RjhvynukYuewIar/cwuPCR+P2E9Za
d47udAcPbksFPDnoQPnctRzDwkjveQ4P7jwC6cRQJMqwWDthNDzmoT+ehSHEIabW46kuF8yjFfTb
Bjc70R2l3+WE5LKKy5pyF7iPjP3LdWjgn/Ur5v7OvlWt96AL6PW2177WMTbSKF6IjBkmjDp1o3MK
l6ZCn3O+j0lmHuMkDAB+4PlSfTNtnCn9mrOaXkWt/8Md0086wQ1ILQVU8SguEaORrLOVG4/Oq8oZ
uLZ1w50Yh4sMcVbWpJGPDqYie43klTXHwYnQ9nBB1s7aNjyX5ROZVQxmGAPnHUUq3bgak+A7nHe6
BoWlrJekCYx51ZgqdWmaL4Lxigmr+h4RIcDf1XPUcZKiVMsoV0PiBEU+h+ZiVM2MraDbmc8K0jMm
kmADxxilrbDT7FirwtwmWeY/5C7NjW4fQfuC1PEN+5j4GaSRei8C2lHHeZKfRku5FtKCk24GE6fp
ynEj7+qzWVlVIbVRbBEKEH+0/uRAX7LaMJ6dJC3oNBz6tF4HGPWqjWhTajfbJRqwLfnAxJuSBPC0
jSNlW9u+i8djkxr2tbUWn2ExUtaypWEE0Dkht+wYzrb8ESzBwNIrYPE5QVMcyxKe5Jo7Qg+TaDSD
25nWZlpaqi68GeYmvJhK4LJRlk4+y0baJ7frDKAfmDU/G6E8DiphPX01ha+yzYQXGf44jl/uFjgz
/T3DVInoaGKOO1ITM+/LycUESr15dmN1BPFXOrf9BVHknfIS/z4WIcbb2hPyhUMUAYo8tMQ32U7d
m6ax7FSUbkAviQhAr/BQGq8x4TyeJOzjDZyFbmQBpbSyW+2D5ljZnqs2jWck88bKVeddGMFKoDZW
gC+Wm91uGLrl6ceAXvBYNfl+pG/mG7fgMl2PmBnARgGBGsK5frHxlPn4nNL6GBg+ovDQ6uwAAqS9
7+EnwVwkkTFtdcp/8sJ+aEpvAXHFN2MmO/b50II+WA+096IpvYdIdj5RHuEpNiDULaDKaMHnBIQl
v7NdaHPXy2zToX8ACkgIEBgcTO/d2B3OOuLlWdPUQXExt3H3hTqzmXtknUwNG+0qb7dBQkfTa+xm
9Q+CmpAVc6xx/BVIyvSkA2Nr2LKp4oODQvQw9SNRigCsOg0BLah0Lht6wLd5mfoVPuwMaYUb9KTY
UCTqJY8caraBF6tbTanVudJ9v+US6H6U2rUehrxP5MZqwuI+mUfjWbRm+CL6Ef5PH4Y/NEUgz5MR
DOfAdY33yYwgq9CuPt8PdUYy3bQ4LjitEg5BeUlbN4VyMPwAYx7NKp5e63TCQ615xrxiP2kUJFQH
/FVcmFm+r9HjgbiEdNqsYxtPJSdlk72Pyd4tWEnMdd2BfUN58vye/E3dJ/aRGhev2LUmwheSBE+3
lZMk7bSPWJKlp1l5+dnVDmFT7ViyW6VZAYBBh0X4s2en8E12CJMLyLISW8ks9eJkU5KssWSPnbU3
yTQY9ON0iXMifEWSxDYy4A3uPAw9FUT06xkfdSd96kJFsVBI54KcUVLB3xzJIjLubDDZ1MEbawIr
eHBpcGAtzycNijCtYi644Eh/UJ2wkhOw3t2g6MlWY+FvY0Hl1H6krvVocz3xwZyxdl/ghtFkgCmc
rkJCQRxY7drHThe4TxB/2/mURxOw3pAzwV1B5WoFKGoOY3EBCGlE+4StfrEF0Ki30FFMz17bZd8z
qdDw3rEGqyiZam+SueZ41NQp3GJhNaVzVXQIAIKwZJ/cBoOvCfykUTQcMsmaYOzd6p68TmuQDONM
AlCJ+oF9SK+QvZPjnKRHVopp9oa63ZUHQkKs+Zs8mOTXcoZtFsIcpLxs0m70NfdiyvL8MbZ8DknK
jmLe94GoD45HyTGzA/+6tgQFuAmYN2F+tb0ev2GnuoG6wKgRmyh1p/DC47sdDnlg6ZMzlVa3FdSA
H2rKmvYKazHeicgbH5OK3pPjlHqZuUsQ4INVBfgwu6kdf/DXaN61AmsiKOGlQtLYqHjw9hNZiAiC
MZ6YXUNgDIRjRc/FqWr11IoVQGoTm1DtlfmWcqRCvo85x+2mHafyplgi+MTWSJ5hCcYH2Zwqs5rC
QwR3DiuiW/rJCw8pTx6dUVUcc8xhuLDXIRwJy0L25XPigV79tLiG6/tYq2lTec1CRYUrwWgnvf4u
a8PwPeNw56y6CRfARvLrwLrs0mk+WDGbGQq32RBsg8j1HfYEvtr5kC2hBAedccaD/R5mLEpWrdXE
d0ne8Ex0ouarYY8IxoRp7jKQkBmgO73p0pyKCMyEODhnu8/2+eg1+Lgj3Z4FJvucT5QR/cRwY4ij
RVDKIBI9kExURTJ9m+LOtnEcWqwZ8M7A6Wt7/ajJKq21F9s8/108Sb3dGtR3O8WDjiX3Jjpp8nM8
csVyaiH8S7cEsLV1bMT9p/QDXXB6D2Ae114H9nJiFC4OqezwvMp+il8knZm8H8GyEykw5N9Onl2I
Gwxifbzhq01k9qo3jU2b1SFM9jIZqRDtzCUQBJ+u5dYPV6oV8hmeIRNTnjXdR2l41dEAj7UuPD+6
+E0hl36B2fJWRUy3z2YuXZgaRWw/sCt29mmTlceMzer8aVu8HN7gdVhWR/XEKx8eHIoH+fraJxg3
zPLYmNX4EUsoH9OUqlc4IyrbW5klTr1tLZWC4YS7LcC2Gue936xzTPDm2q8tswTu5zagLam/K66h
1ph1Zhu1f2fwi8EozcNzwHISrnLO5piUfjS06P8q3Mgu8tqNclMyBdCRzR4QTRBxx25Db/s/69dc
BNJv4AyJqSZK/u1ffgmmS7XFP/yf7R8mynv9o5sefkhdqL/9y5/Ah+Vv/nf/8P/8+O9YMcFMeSiN
/zHq4+mjTAtAWN/178rlry/7lYw2v9iojH4gYJ4TjP4N9eF9wVcpQC6hQf4SNX/ZMS37ixOaOItN
O8ToG7gIjr+ky+ALDkpgD/AqCJmwtPL+Genyr6gPyjFEEPI/Lt8Nz/2Sm/4tsd+1dqC9EdAlt/U7
iwUPSY32a+lQSdtxgjRUfnK4+xOAhLX82yt192/BU57911A2sRvfw+7OawLFnV/0H785wpKZDVxm
W6sw5kOkiDgaKpnW3ShBGWFOQ7PIBFW0fbLXjZmSdbPMb9xqY9qKRmLaiXIkzg3CM9feZQNC45V7
ZsLHcO+m9qntuPbTToY3dirZhHbUvB8i4iITcEoqAbrGv+fY7eY3zZI3IV35ZKNsrH0WWdfen+uG
qMhg3To1O9WN9uQNR9ccnkeOU8slTL6woqm1B5x79eGgP+Ex4OzSlPZ8T9GluMDYMJ58coj4QOvw
drDJ9PngYIjvLZKZYUzPWQq+o/WjYmXRx7NKCk/vuaW45xCNYL+wPI+zgyqOudIwOBoTJ8kPjt+K
i09wRG46I9X4QYFh2ueWcxzEQd+O9nHKGRarFsB8jqTBVwx1BFZy0YgHpBvaECUrIu7gBq8alWmH
qc/kRWHuYjprk/Ie52kPzXYy31FSJFORa1TT2uQoApJWDMPbEMdJDp16KB8rW77q1nC3fYSRNBTq
HFTOOYSieYizTh76LgAM2BpfPW2GN6Z2Rg94JFmZQksNIiXPoAwSmxgVRI1xvGrEId6sPD/3pCT2
BdmJvQggsq+zNqgvFeuGI0ZWFIw+GZ5iuoP3TNrgJjqmTylRqGfN2y2t3PygXY2m6KqRER0B5bjP
jfC2pPnggroe7/Kma25sg0MrUJ2K7A7Pb9+QwcFS2EZCrhzKGZW2LlM6JA0CbEm8NxuiBoshxoyi
K2fKAkg3xj7JHhyf4a6HJL7xlJavVJIFrwvN5qbJGj7TsXsOrBY77vI5J4derDmVOzf21IVPPfF2
eCtabeBWyq1tjhKBIiT4HrfJCMQ5kE8+JtBw5QL6fAxi8sQAJj16PdZTaODzoTfD0lh90+FrFmjb
2jUedkdeYrNqN7mEArtNrMHNd84800RrD8LpdwTN52tQ+fZn5UTqwbQrTiE+kf/9tIA3Bjvyf8xM
VI/+IMPnRdTGzbeQO7KF4ZHq0nmy8S5am7EeW5/8A0UtW6qf644x3I2GnWUY7d4L3YwCGpDzMQ8o
4qFHglPDZzONGEJ7Fq+XrLM66yupnmk/++60Din4A4M+e9mnHLvibigztuSxLp5kKtwDseajrFAS
4ED+nJfTdtmNA1hj2/6JaAMxhUz9YYrd9IZuneQ4dwQ7rahBY49bu8feSiGL6aY8UvVoqWdvEOG3
LLKjo1F76PsuR4CKDAU5Hlm6ZN/arN1Qfi5vZgtYBCGm7hVmIAtqPViYd2b3I5r7aqeHOv0pPMva
YmuoHipazjBOhNZHGc/enaVnvY+SiJdwDOQzc1y9L3qqthUZvbckc9uXOrPtZ8IfzjGR6N4Nj/Bo
4+Y9KE+t82HfSAm2Ap2CCnJKt6zuGxpeFZ8Tu4vZ/2ZF4DwLDC20CvOVb90c7SNGoZ9RZHv+wYHq
NG8tygrmAzGZGRR5mk1bMnO7YEpQHEJOtMEm0x276thsGTvoYyQyy8q524xZn37wSRunVUXJKzck
P0zNjZFyNwZygM8hwdiZ7fyG0NnGXpLS2m/98KKaqTzN9mRxAndyxpTAEMExwoPx1TXcEEVt7o+t
6Uev0obFv8mMfjA2WTWkxhbDI5cNQbPogzMzCmmEXfRM+Gx40Vml/COdmmnEKS+f7y18Koi+lJts
IyqKPqpsbK4Ka6Y4JWUQbntjep9I2orNFPPCVH1hPFbabn7g24XJNtfJdvAFnaam1piBcBkrnMtT
Wb3x4cccjI2S9TuCR2jv80ixO9Jui1zaDr2H6dFvlVxr1ZLtd4bGeh+bntpD0DfWEoyr6PbWrXo3
KkzDWx82/Su9buZbm1KpYLaz+JZqJda2M4ebUM3dDrS+vB1Q2L9Le66vGGTDDGenMqmvwuY+r4t5
yZDHzG1r/lp6RkFGSosb337Cp0skfHC46Fe1o1oG244fAOxHvpgpZ9TGwSJaT51FVhqrXOYNFnSy
7OYqYQ1e7GEwVGRVY1fTDeXZ8wj6calrx7gdEN1bnjuEfOsXHj0R3REIcHpdj33znKd0v+dYC3a8
ZZi0M5rhnbwYL9gOeeChjYcryOTqRFcMkbMisQ21pkS7uuNIDgjC4XLAZ+FjToUfLKmaSNjl+/Zt
hinhylEdAzwtXBcaEREvEF/OZdgO+yRH8Vmxl82qNf5ZaHphYycPhkU3I2LfLBf8yGAuFzouRtKw
YhubYfA9m0o+t3pKQ2AaeSh/dvQUIL/hHsQDOxo7TuuchCC6JG/4EZxNYNbq3sjJaypvvEsgrDxQ
+BG/WMqlEV5M/jrqTNZjTSLQQCqYiIkfdheZxMmt9EF98HIazjMMmv5bTzsU10za+YQh4wkkdEJ1
Bcla21zZjtvdBHNyIXC+RbLggaxbQPRm3XCCEMlTP2bDtafk1afko82vojYw7QHlvTqjBc1ywN79
MCqI9QiC5jmJQGOXJZFDgvss8+gfWSLCnMl2qRlX8Gbsb05vuBtGmNt8is1VucDonazh+/GF3q6P
Sv+Ex7jeE7QX67Jpkh0Zv2FZYFTBHc1IeDE8aQEazyHX0YfiNfWZ4oTgjaccnpiaDxXnIA5CP0vI
51foamNxDFIqVzyReaiQNil0RC5+IPheJX4qQXR9lUrd/WDtEKi9E6Tqm/6jUbD8o12w7ygaxKRo
XkjS9mSbqaOmifCPVsICQUNiFCmj4bgEjJZenJnTWl7qiu3G1FKPpGa9plREBhz5XJ6HjU71q8JA
+UoGiSLcOGDEX44q3kp5mg2hGQROus1a0/s2N7l/74CLeLHmpb667dN8STg35IIFp69tJ836uY1L
CWAHap7iJQ3Du1Y28zU3u/7QVb7z56RoCpHdEqwN3kYsv+Z6tDTSfB54Y3OMxtTB+UL5DW/eguVb
L3uYdEXrSvcjzLEG7qh0KEm/Dtn0SIaLRi1O7Eh31ZSZ7sEc6+6ijTCR2ymu60uSlc1PRcsdt/jM
GvvlfWH3FUmaTdakybiJ4UF15aVrh2K4rUrHK1YdexO4lKhMM6FuY4LWTx8k7FPoCQBVppkXKMvD
FFMWB2J355K7fuy7iFI1yo7YDma9EP0p9No+2NEcyqGjLsKT7v0i4NhjjpyAvchcWZOTnxo82JLT
mghINA7i1U9MD52RQvaT5eAJLOnZvszcdHJu6bn/jEOgr87YeIgamOnQDohy+D42ePo6jqwg58+0
JcElgCAw0gY1I6j6Jseo7SAqSeM5k0NPwNVjOc17EnanZIqi16LosxfAmtDIZ6omgqOrhvhY1GQs
sWQZP0wrixDqLHwdJk+V4zQypK/rIMneWM1CWUIuUa+8280N7dFQ6ufSVkeXm/khkoU4zw7eiNCN
1KXE5UuMJlpGd3717cQPoVmuOuO16d0i2fgJnFK4RnLSmyZs3SdoPGxj/4t5zPprMo8pMzQtD0wg
kypYZibf32dBFt/0YKWO2kaWWbBbiT+rtHpEQHqzw/IRpgkPVh9jIYfMrxID+p++p/8Qxogb5x+y
rcu390wzIEVFXM80lz//bRTNIynKHM7rlpKJdmXMTXXhxS/O//nU+cdE+3uEdvk2oVgmTpPv44Z/
GTonOfeCij98BjHLJN2DlQdwbBvBwUlIU6zzvinFSoSUW1Q8ngS5wpZuNYv94RuwGvc4GZW+eE2p
HnJSODfLS7b28B8BwCFQgRGlWaeLArrWPBfVHQJtHe3+Z6WW35WWv/0vMpLZi8Prt/f739SeMoOA
JL/rPr7/kMk/SDJ/fuUvScb5AtZI8Fkjz7rgVFFFfiVk/S/kJeCrUrFkL0RVdJe/J2TNLzh/PIGC
84ux+n8lGUGu1uETi2c/dJa21H8qIvvXYLkVCtdycJN5bOzIePMj/H4dKOqRvE67/b7JVPhIgG+6
rWpyO2s7TLtPI5zz82CGbbP+7YX6d+QY7uXLBf77pQFpz2E6CVzUaYHV+C/fWUv4aaPb93vP0dEu
7Wy3+cBIyRk37S2Q3wDy8mSdotK/Fcy085bCxSZfB35h0wiVD6a3N4vGEmvZ2cV7hJqtMFyxF3Gs
KVbroENnNyXVQeu85Lh3GMTim8L0AdzZGhSOmqYOpk+SWitbTV21F+hq7yW2gY+pFuFLCfU52WIZ
6+8nHBDNJlccfNOkQJMJmoiajt4S+o2S8nRHypkFfVmenbRO90O8m7CRk26qPlEi1omCTjBTzbWR
UU2vGFZoKDzZPa42/5W5s93bdMBeurKxKgoKHY8gY+xFz0ZfpBlpTYOaCMh5a7qtfvg1uA18GTtg
suIITj4jiZLcBYn2d/2Iq7YCvbU2rOolTUvMFA2dZNbA85ENJpYnsVDgq7VLfzJP2FrTWmg7t1UD
aXtkvy5sqt/I6vKFXevuqsYjYLNMAV5DXqcbxQdSBHNt6DDRyo1MCgrF7G5f0W6EbbBftfQQrVob
jJNHEEG6c8FfqunEBiRHsaxuLxwq1JHqtgXgKjVBMtisNRxWeGMErNHrkc6H1N+SQ7M3oLwoanNj
GKymtHZOartHB5lvwQ61W6vTmiCHpLKO+N56RtIisA2zPo8yvYOaCGGszPFAkgzbdMwa+3nocHaz
J2NHZMUFxU+G872x+vigHfR73/CM60we82jVbfowzYXMNxWspE1MlCZbQfJJ1ALusTPWwkkZbxzQ
BOFyeGIOHGxHfmAQovmzmdlArIHC+O+xdoIbVsPWJ2fG8rvyp8xnvd+4NhkvUtFxnV9MyjGKDaUo
6TUTYXtUnBfJ9RgnmA/NKZnL+rVk0uC1zjogIyZNPvO2c4cU6GBIcg9nfO15+Pa9+q4E07fA/dzF
TFjnmAhK4ZKDyMH7j5YNx0GW1n6Ea1iiTyXBY+kaXUuVlmNuWq+axRZ4Eyf5mR6zG7Oz8V6wjO/v
BXSmnRMnU3yK4wbbSMto9S5VADMkwst1bX2bJscWL9vDNATmEfcFTa0eZ1LOT7U45hZSFrasIGZZ
UThPdddh06PnjKCOGyyuTTJOAytSr4E9Utb9S4jbidbK0MfY4o1iYYs53bAN3CFuT9OgrB9126D4
2KX1kttJq/eqtJyflQfkawdPZupWtmxBF6zmyTUeAk8NO/bxzIySVDarIoHlumIRTMtqAdJCC2yJ
q7QFM9GYaFr8YwOgTP0HPWO+4+cr5a6YjdvImb57cf4py+RiscJqTMPZ6QlzQ9mL4kCFu33rOQAA
WgdjgKKiGW5QfglVmq+gSSGsmuRnytlQh6xpr5U3y7s2M78zvoMSqDvQSqqID2bmNzeV7+c7EfMb
+VPZ7OLST++SyFD7EemQLrZRbNUw1p+z1/U74P7e1Zwy4u2MVMMlkvn4sywj1lesRNNzmASIplkW
4HacKwRq9n2u9enjRD8VQhfn0PdvR6RL5ElpKXtjwWbxfrT1tOR/fOCgNF4aJdel8aZIYFaYmSAw
Wu4zXBR/J6te34echdoVtcLBsgnqT7OefzR2y/2DraKzLE2jTcjwetNTYuo6+WxjITTi7VDGKefA
pLwzTMJQa9fWGOLBXT6Qc8/tp95AWVuZU66OecxEq4xSX+XArmCbYP2hblpNt0FHY92kaiiCSLw+
nyzGAu4W8WeA5rwxKjc42AHWUxbp5hrOC6/GKMRzUGBWY+uFqXREiUMzw9c05FfAy5IsVnTQhSjX
gFxPrCEJxwgvOWnP/cnTKb2y02/2RUeXNbLL7MojgOVx3URY/LYwTFnupjK2qo0xtd331MDts1R7
mhffg0XIWjlTcpt0MOlgugHUH5P+IZ3i/FWljA2Fb9Oxk1h6P6U2hKiQC2bvMtr0h6bxMmfb931w
RQgqX3zeJ2o1re4wFQBSiKU5d3Jso8+J8ILzKNuS26yaK8oZaoXqy7aCYMYGEitjhbH0byBRz6wd
Zhvnt/nZIN6BxgHDUgirP/tpuBm76s3AwFcuQVuBr0fi5mFhyDpmn5aao7TTBAG2ujZVTwOzebKK
rMy5+tLHYzx5HUyzfmipJa3uIxuJlEhIt5FNadwVCq7BaLBLzNHP08DZmexNMcMu9s42xvUUHwmx
ZdshcLpzhn/HcOlcsJHW+RWSm7A3v7c0bUzc34+D9DkqmGI6pjP9bIQJMRSzoFilMQtlIQpyscWI
DNW5+6Dn+BzFItrMCWHOOhnJSbvxS0xdwrZVAx+AaOD2jL9kNbADAgJozMlDOTbImVm6g9W9TUvP
2qlJi0sC0QmeCOld0/DT72MMZjbSvbopZAD6zqBguB5Hwj2S1X8siT03Po3RvEPDlrOgvZZWBTB9
nJ+jAuAYCKqFcsELW7RVdEM+C+aYbJ4HNwFRVFfdQYUEvDlqYAzxOrWvwbTsuQMFcAoa3PZ556Ex
inxDzNs7sPiAJZVBhjUmLt9SOLeUsW/NgaLuteh6amgAdqTbfPRjutYIldl2h8oiU8c9c1yQsL+X
N5XKZXeHkU/eeWkTbjNWGPj4qmh4J7lQPPhqNs9mWOQ/5eh6rLlLGBV9OLz+K3tntty2knXpV/lf
AB1AYkjkZZMEJ4mSqMmybxCSZWKeZzx9f5A7Ko7l03b/fd03FedUlU0SQ+bOvdf6FsFODmTikTiP
wdYLdOxM5TeB1P2LHs7d3rEnF9ZeKjCyxrq/o6ltR6gOjfAu0IDlr5Og149OsMA2RWy+KqOurntd
jLdMmMhUWfIZI663cI6Byujw9MBBjoHo8DAqw77S3d54RODk/0gbuuirMneznVvDhWdhMvxD3Or2
MeBS6+t5jJUXmFp0XAYk0YquWR/s4I8ku4zR5jNccoWqz4JxkU2jWociDd47kupILAFpUXATcjKn
XFd7xGwS76Owma5gKc67XJ/6Fwuv9FVXgSZAROGEoD9yYAlNp/Jjq+sJquDQnB+TeJp+dLGT8Zq6
SXJf4wa4VyA2CKeKiMqltO0YdhCfE5Oo+uxCwb/xwzw/hhyrdxNiRmydk8TWznMQvERWRWhtpqf4
6rXxsR8ya98TH3vWFO2CVjhAcSDMnxBPGVfgEOWLhnBwXSFlfzEt/wDbxV45bXBDSKfDwDEg8YtZ
XE88YkLILNQE5MGseAZB1HMELM6ccePW9a7QyFzDeQ73TFacLFZdg8ucpFkwpquEiLEbX8lwp8Ca
rESfUzBmU3vvEKx+oMW/AN1z4wnhDi6tom5pOvsDWX2zJmLjji2C/Q3CXD+xgNGDzZYEnTQFeqKg
RmwdM2dw5uCfJqAuXstUvcYAWjxNGDjMgPvsBMEMW6wN4TtFC3AJsAXQoGGMBatunPJdhgHzUFZ9
85WXdr7XYCRjyx1zaFx8iKvpwoulm3h2VgQov83grhhrcTM0ej++FqYYMcqPUZU+aM4QEKlSzoBF
qo4D3toHSz3gqaxHf22JHimJ7JiTrhy313Y2sLX7zBqCx7E0ossMso0kdQeV5zxYwa6r9eZMELzx
tSuU9diNA7zGqRZY9khMniEm01EhByp8HwcnPmqOZb5WliCQWVZRxO0gzuVep0D9UZvFfAyGAjlT
Fo3V/VQbrBUzzW8KtsZgVbPbKsC5nrBk143Z0SLL9NeEbPEn29Gd+tGlddfe+EVlmd4c0+vyljgA
L8iQH/bmFBNxagd0lFQWoIGOOmOKDqXBQ7jpAg0IRmc3tddmkwOTMuHtJcPaNTYF++FVYcTKQSJZ
lWg/ZYj5XUN+XmmlxPJeShzqRV8Gh6rozK/pPIS73FDlc6lE94oKkeB7q6zua9s6Rxra4TFtNmXj
ulftFBBLynOIGMnRXwHLDt+CXMUHB4/fM1Gr2otRFrbrOWqyvoL9GY99O0xb7EnFrZhN5xyQMgbG
JBj9vRWnXjURGEFFHV7TEB32VdOhZOASvpIB3qMm0Jw7KyzrbabJnYFS55bkpOnYOtD8aAzF9zlp
vicFpYAYT9UCMIFLRBgikROAalJ0l0U916w40j8FofutC8J31OrjGbGCjxy7qjNWawE2BkmXukA8
IPAVuvfWEg54dUIgnmtXdV+GmDcn1fL2S5wGBH2PsF7IgSiOETihc1JYl8AKSaIC3XFfUc7e0Ymt
qK6i8ofFxIgddBD7HK/M49yr9jgHuu4BpBieE8OMVw08hxsyM+O7Yq5NotLJCfYyo2yvR98aEBBg
VydfMTz3NAA2JnFgBE3FQ3kHrjB9qyZhncGbttuJqNpV4xb1bW8PyaGQ1ZdOH6NiCUsBwBTBifXG
AuF5PRAHmXTtzMwunVbG2OnrJDWpgWBMvfRghk40kpMrYmXVSyQr/5sfseajq20ObKv9PY1qgCPU
Yjd5G8Agbfz21DFJf2ip8hIc1uBOZmwjRyx/wIIaHvm+Yb2XZdF9i8h48vy5jV4nJuA2HVWO1Ebe
y5MrOazRROftithVNlBeMNUq9hR3wHYN2oXBi59scaPHJ6K2/WdCtJojkO74mShrDqihk3EShPjo
LmbtLDSNO4ms5uhLsEvQ2dNHsqfFKdSy/EIaMg1ppMACN0bc3ugZex4Ict98d4OEExaM/vpKDxo6
6DPeg73Gg2Z4ZtoDgW3bBC9ZlbTBBst6+aUdy4qMUjUaD4k9lY+yhkQfAxglL/5Dlz6qKn9hOuy/
Dq2OZl2hcoyvGgxMd/Sdg+f5Q9UO1xqFOxZFq97GCZaVoB04X9ldZL71Tg4RXmTzOpGyeEX3Um5A
Z8ovhUOTBr9ycR1QqSH5Zu3gC8UMenL8G1EvrXulsXobTo243+4bNNdNfyKmuH3tsq6/MhYBfyNc
At2KKN0Tz4q8fxH6Ny4LRhFE5Ust9WgbJJl2b6eJzQhHJwJLrluW+GKNxy5/J2vHGW9Q94b2XnNm
/AcI5qYl/td4RhCA0aBMxujS64D1UaJP3hQzBl3580DISpFP05eEM+QmQFq6B02M14IfH1ATfJgZ
RNhY2ZYqoL6e9D78KlRkPMqYsLdVZMx8B60p7qfCbUYaQUH+bGXVpfmwSlRyyl9n5LCXghoUio3G
MsSUYRNmVbGxe03bOVgukoDGllEkeHwmDDc2uTZszeuhbeFJLZ4NirFnFpniiFP+QfcHsSN8U7sK
YjweBKuAZVCpvdEc3Odd6VOlu/dt1Fi3yBayaz2wmGyaH+aR0U+YVeT5FTgU5wDtiscBA5l9nLO6
gwAQmss2lW2Tgvm2kumKrarhTdPmq7Gb3FMUTOGGpke9M5Svv4U8Pm8lE4EZ4UFBjHCYVldOqNun
nhPU1knN9j6e5N00h8aOvXm4T3wtx5NgYLDuNHvYpZpCKE1T6tYW+u3SE/qqgxpCtVEOhrlJtDy+
pbJbWLGsVwRyuPCmh8YOcbKFFvPZmIMncuLZov82txsTov4zSJjUWamhds6UBqkFQzrxb0UcgeUZ
ZLNvgXESmWqC/MNTSkrHxHuZkpvRpowEt+3cwuiKuqK+smp6iWurE0Q2Bb0Ax102X+PJ1E+YRJIG
dobGAm719tmMuupEoBPuO2BfdyGwzJNealggfVXIqw5z8J5wmvgocKheYRwsryIrcu8dg+TGfIBZ
vCHTLn+Zmr69pbnWtJ5tNpQ0LnmyWPm1aQDkXsZeYE3f1YwKCoeTuUaBo79rc5Acen/2HxxWppUj
O0Z8VTmLFf76ZBvEXbCtbX2+VYxndqGQRYWiLHNPY9KW51kb8c93ZIDvQs3M9w6wqFdSi+WxtMv4
Ces9q+BYNAC6TQd3Hs0roP9aiQTB1sWzE06k2ut6T80lrb3ZsJm1BQ4p2Gwc99D110J7ctueKdUE
DRoKIVofndgNLx7T8Sx9gdppcrVDmzrlUSsAtDJGqb7pEQWIFhTRpsniiMW42XNc34E6r257Zu3b
OsF3ZcwjGyn/akMjQD+fjnLYminb6SYPYwKyJyStnmWGvONFT7vBcSdSFpOqNth4AD8ZqWqesRoZ
zwSZBYjPJlL76Fwxtu2dOPJkimED2UZUPpKfkenbyG7GaTNLIlC2GjyV4qqHpEFLtiwEzy3ND9xR
SaB9gbDeHF3SmOk9U0Qz0A/j/n6ewjq6KqQTPYRyxpmdKo1m74xga9jEVdRdYpnNu7kbnG+JmJ17
d1SFsZWMKUnViB3MEDZ4IzohVajgiqSOwKSlXPOefAFK5EFFAKkSV5VfOsuM33pNn2a8loNuHcZF
8nucafU/Rtacv1QmQF8tzqvbkQk7NEy7as5oqHGrCDCWd+VAI87sFyx70n61DWjEvkvsGthF9U0r
zBAk8cg005TmsXFF9hw3i3Qkd8dqi8lOMK40Uhop7YGrMHsNA1cQOGi4V3ahioe27ccNALH5kfal
fXQrIe/MCbfmJh5AZQU4IhpAWqb7TtfAsQnREphk9JrRgTaOmoXbeiAqB+v7vK6DYnyJXIcNghbq
dGozS3pdeI5K2XWbIHfUY9L6+XWA89tKnDohp1uOJzDn07gHMFlmq4hZ7hsz2qYA6jN2SEZxvfcr
us72GbCtOa6QL6VqA5sLTwxIdUHUW+HmCYqmAvLKNIm71FLt2ZwERumyHc6a0+Vop4x0F6GV3LVN
aT6ZRCPfMgq3vMglF2NbAOCCqGbHtwiaJ87lg+t8a8sk/BqNTnoF972/qzWRVLQgjdC6qlzy4rkF
Cwg7JPcPMh1V1rqVWv8y4Yeh/U9xvQ3tMcbfEo23o6oRTEgrUTkx3Y46F8SbaMiBRPDuG4SxrCPL
MB4CfxHHRJmePcSRJAhM8zlAK2e22U4be40yjoPUmJn2TV0YzT1iPf1eDGZ+O2l2HiPEj6qvMw7M
G2eOK87yleucdLIYaOPkTZzvo7YynpxQiasIhTlIyypiFN509D8RiiAhiSfN/x4l2fxagqO2vCGk
YFv1erWYrEhuRXFlcoyb6z79wtPW9+s8jdgJ6HqOtw2c7++MiJcFjpfIZij7BT2tOJhGO59gmclj
GPrQj6qsuWJtZwNqlP7eWF0dblTBzoeKSXtytKg8I3qWxxGr/LU1tP1hNsPu0nRWtHN4bKsVuPIK
S3A7jj+cGER9nXYbzhBpvG6dNt9DUJJHm3V708sifbCQYR01gfN4JqbzPY+X5IEZl8euTPV8H1ty
zDfI/KpXo8TU7AWdLO45ItH9LvPmKelN94yOJkVVIuUDSHP+o2YdaoK+esGtO3HE8yfGHZFstGOb
6IPXcQ0fUJO139mBMvzhclCPGlwdAniyWkRe0YR3XSabexQeNtMD1pZ8ZXUW0ly9be8yU6ZXpcEf
AnVOmvrsyDtnzOkm6FPWfZtpqy0bci9Obgc00pecSiApDOk9QgviYUIVi/LB94v5jOuAO0Jxg3k5
cs4Mt/JDqhvhfSPsci2SEVZ8T5ZNbRUkVdREoM8hmUlZPzlH/lgA8KXS3kbsa2v+9SX0+8QzogK3
hJrdm07O8900Zu+VARc/6ZDaEOGyFrGaTk47ZeDLzWFXF7JYx6F6mDCTeYmTktXg0Lo8tI2ONssc
RnQ7QncekSxRVziSl2darGsp7zVK6WbY9hxfmdB0dDi0KPMPLWX7NxkWzp2v65BxLXOs7y0Kek4C
qa31Kxe+xaofx/IY9QQOrRCmN5g3xvqa6er3ok5Esirbxr4NAyFPg1NY55F2xrec9E1iEDEmthx3
Gd+EHU/TQKQBq6p/V0Q5ETo6PYWk7sSlhBsJ2k2vkOAYRQO2k7Z7vTDLhimDkCqCq06T+ReTjEOK
TkXJEi5BWoYYcMEwbYF5YJTPzFPbQ8b19cKKsMgxrN2NDm3cc9G8FTvdtC1204AAmahts2+O6Tcn
ZoedlzqTe0GtB5hZS1J6wYb7VUeUU6+mLiVGA9MPUh7fppCVMXMrc+44wQgjHK4a/OSwkyvEOExz
aPeW9mtpk6FCGkirHXwNDaBFjyRCaJrMJyxdLHJKViXy/yZ8sHNmPsjVh8dIjtZ7MUzjG6jj9hEj
ONHPDhHdrP/+IsdQsVtgXhrHb1XC/HJR2eMSYs3jhJdxxkNnzGLcd65kDpO0JhtN0oanQdP1t9SE
nOUNpQ/woJ7YuKZcOQcfmx9MRhNOKXswdNwSAvNko5FHm4qGuW7skijjQACtjf10+gLDUjC3CdVW
iJI9P68IU8GiWfjrwheav2llNJ+6yF8Mu4NIjlI5zTEYG8RbdjLJ7xieI3p5OhM/JEwFu5WISl9b
GWqCTpgtFh4abXgP4pBdDNwT8QQrx+nM6lqNIx8DuShAXATPaZ2BMXlK+5o5isgTKBdyLFatr2kH
muyZ3Nh1s/wXAy/dyu8i8cTM1kxR3wkk7llu2+/o2fKbkgnqmc2L2iVluySJmK390OpEB2zQo48v
9JthOoEifQyW01Xm4oogBGgkGJz5oDcQJUWgQqqfXNWL98Qqlk0sxbjkk421toyu97c2KoK1ojl8
NWe6cQTPNt6gdMOnaSxN8iwsMMAi2QRrbvBm9UDA4uFsaXRGkUlzum5eOorw4+TnCArh8GD3M5rN
MFX9D6O041NHOXED5Iz1a4aIJ6WeX8PcFsSl8E94yHBCgHXQX3QkYhBkw+SU1IPwilYP3XUFtSda
I719CbtyPtd9n18X8LgYoxuaR+hLdkgNqX9Pyx7HZ+nW11lXhLcQ0eJ6XUZDtIFzMn/Hshbu0cvJ
AwQKTJcdtIGh6AL7/2uD/q+8WlIZhmH9ETP1P/P31+w1/6/X/P2/bqLvxRtaoUOT8q/NP7VC//mb
fqqFlPk/lI24xzFM3YQkrxCm/VQLKVKcsdc6CAoE0aWoZv6jFsLAxX+D0gybFloeFEX/UQuR4myj
swEtb3De5f/x38pqNj7JhVzsFazSOpnUOLhsXoFf5UJNA0ujiMZ6Fw4sJLENyZq5hIdPnn0Ai9O2
mNMLOhnqEZW8UdRxsEMsjF4VbXBUoLt184aeI2wXf4ie+4JM+b8oiz4JC5ev6GJUU7YjuSK2+vQV
Oa/acK6DeudmPjFHs4X8OsQJM4Xquq+qVzbWG6fpNk1A3mLiUFf+P30By1SCSyUJ7fj1GonEKF28
p/XOD/gC6NlBEhkpmtnIZzdkIeh836fB0h47NAsQLvkef/4Kn6RVH5fAcU0YZbZOWNfntJDGikQN
N73a1V2wHBbkYwdcPqr+FsH7Efn8Dw3X//4gtF26BYxMmJ9+KtaApp2motrlBWY3bNKoFNrypahw
iyqiedaT4xdY3Rpz1Q8DPVN/WQxHcbZzA109uVieqZn+axPbg4e8SL/nfN+DddAVqp2xxqdaTLua
I7CnlRaxAqiHPdsp6RkzUvWADs5bhn13mK3BXvtcyKlyvjZ+c9BrTFlWVPnHIGecooly2iFHCk+T
/8TwhKc1mx8LGlVbSoLxBin0xTDnxGv69A2Fg7shW/JmdtWPPszuzVl++fMd+hStwoXjlcBTjALW
WnJsP6lf5ZxjuYjwz9kmSTS0zb7GxAAx2GZYLMTCJyHbTla9+rle/x9lr58FqXywZZvwrlwOKh/L
yK8PZ1YqWTbKjXcu4i3PbVPog9A79lQRAKpNxllwlnvovcK+wvdAJwmo8Fq6zNFUyh6bhsG2I2tw
bUveqY89U/lUMXjnJwD7RJq7SqAhp+EivD9fM7EoAn992hAMulKRAeRQM+ufQnD0Tln9JMN0ByEk
3zB3tK/YPZEq9uoeHgMVrMRM1vptdlOOLi5w4zAkwbGjH7PyM+fwcwGyxm1hXzvSQW7RdIhPNH60
nPg1dBehvZvz9z9/79/vteUIXLo2Aktlw6L49ZKjz9d0ZCnpbtDqJbmRRcEFS/XzQtdOqRgFthDb
rVT8JSL7k8h5udkO9gfGV3jz9N/Ux53AjkB4Zrrz+6Yke03R3IXHtvnz7/u3T0HFChtF58ex4Pz6
+/IUC6oG5HmHBCjfyRp2a+2Hb3/+EPcj8+fz3bcQ4gshwWJjcP71Y4qslpJ2F34hkV7AJ9QpDhAs
twGOUHoRvORKG9hb+rb1cmNOjoBcLkZgzWfGrTC1u5B9Z1Jrw+qpWFtb80JmV/uUDuw2YWIJl4vT
jpm7j6gAp63uAJknh/cQ4WHfJCM43J7O3laD9OxRY1IhFvZOH1nfbGMUazoQmgf/ghFYaBvwBPlq
MWyAjfL581blUunTGCWXkX+qaDbt4yAgwwD3xjanokRSUVoU880z2CE4SOUQ4z+L37I5erNj8wwY
xD+iOkVzYMaXWnTFnjBnDE4q32uj0uEf6Gqb4gmsA9+lzc6aW5m4D3D28sAtXtA8oN0CwxbaG8+g
lQRP1VzO2z5VjyEPB0pPztTSPOeRwpkbUvqaon2hF6LWw7J6T1PSfClHIMWWxnluHHOxTkhHoeEY
W6+GDoGvFjLZpEP01kDO2gB1FGsoQNU6Eva3vBbxOoAoed8X6PyIIWQjnh2Nhmh8MUJ+9IdIPsv4
vkHb3tci+cGpi+48qsUAfAq5aSzcQ1c2XsIGsqG3j5+r1l7kIqez/FqtVWi6G5twn3VnNeGWtYwh
vR29mXAVV1iYOc427MDp1KLVs7JrQNYPsaEeqwXeV3UEayS+G+4oflDYdjDKUpNbkzf1vRPBEMvK
7pYCY+fL/I3he31oOrAsmkwbT43czWxisayr2Fm76aIoSC+5QvKEEwXHXM+JI7mA2VK7EQrXJrD4
oc2Q2Qy5Tj4eWbR1PahzXd4kPkcXg7Blxt4WjUV66Ru/5DmHbad5U0F9RSxjSThJctECjSeWOzvJ
gCYVpxsspPZzn7Qxd9zNCfPOgFL5wYXJCw8BE4/FueJugLhfg5GP6S2zU6dz9mYWWXrbKYMkoV5z
HxpwgnMcvkEUKPbhpNdXji8f9Za4xpry9NqJO2qr5cZQGdw0qI88sJ382/LsTgOPjc4UftX4wCzL
MHpziRiC+2WeTTdVO7I03lwgxdBmojej5dX4eHABAfDg5+OWQzgiggx8yuLNURQyIVLNn69AxhNm
GOa5aQE92z3FJ7PZ+ZTDRV110VJtaPx9RVaaKzfkCTINbn+j87qUhMOsBEnn14MO5RlNarQuXR5a
SEJvH1+cr0sV06EZiTX2NKX43cLGYg1ikYDnVme9LkdeNRmWp0KpysPCJNYS3JI3V/JgOB92aiZk
UavI8Bj7a4xswTpGlbwd6RiviNW8ECnLgiVt/gy/g0c3+XmDYZWfRVq9FBDbiI6KLxX9TVBq8dvH
csFg+tKO1NHIGdUqjwM+oCEHp03ZQUpYq6saKRZzSi4ihwHqoZl6iipZrnrb2Lu2iK/Twk02IEjd
DQtV4jlz+WKL4vpjdyJxCYcRUYJbXAP+UTjxBWCTfyfiYptRJJF6Plte3eTl1h7FhvX0PU9ZTEzB
k5tTdK0YCD3B/2PJ0/h7e9baxCm4SeCgapm+tdRXy3LGaJolL3VuPhalzmZ5CdvmJR75blHnYDF0
5n2V2mfOO3g5DV4Vx43fJi2K165ZE2hKQOLP0wRDD3IyI5PkY7Ydp5A3H78Q7+xleSWqyD4vW4F0
xLkt+WIf96AU6ibKiBMAQUt+53DtBjEJIPny2KAJQ9JsZ7DU6hc9toxru44vSRmkyDl5VGqkYD9X
OtdiMbFD97GYbFZUZ9aQwqnhtnGnlnY372/Mm+lhf+ZPuZa2JwnGP7bL3aEZjg1rLq7nAL2fzZxj
NRLeePxYiaNxKcScANUh2Y28wbQmptl9lCm0ghV/wuGbuOO2Gflf3YYbgJew3EYFTAIgv9FNQYDQ
xkXQulHN0u/QuWIf+4qZ8KWapXhOHPts1L43hcmEAYG+JGFi/Xp5wsaZxTgsKdNZabYwFMHFFjx0
tWLhSUseK3JoiWWlobEzFQXFcndBvr5EEPRXMmTV5xSU76qAv7DqORV8rL/psjr64OB3OVqRlaYK
8tnJ58TsHL1BdaNjgjQRgQAvkJyTazwEELcrlpsYL8jmoxxGhp96HTz8k0Yb7AnUebGXpPisiJM1
wd8mbx/PCpSmt9gNL/k8Pvo6vvPErivEgFzqZbchBJqNseUV8HHrn0ZE+xtHc8gRWsTzVlsjwaHn
jwclr7ayXyJfHbo6Hw0m21jqcxvFXVURKloWbHiYt29YJSsmsGF7sAaaP40N+GA0QwROxqxQqMCn
pFeG47wih6JoBsavfmjre2jLwRvcdnqMpmFF297AR9G6UbNDEUepgcwAwcGLT0d1O3Ky+q6pZH5A
sF5eQX4jI6lsHxi4BTvOOREiCsN40S3I/3M2kTcqmUmHneEzUZr1PcpGSGQck/oiWEqDsqe1aIcS
XEC2QGIn0p0GmoAJ2N+DuxzgkpA6uZrrG5NJETj00TjqKnjrtHTcxBIqXZ/4JgkWc7PFkjNfoU3Q
UVWy2C/HvEKWySY0Iv7Dpa1PrGO4V1pW3UQILzZjHkd0pVIG06jJ1lhvUXGngUWNUvUc0JiZg19h
UiOWZBoKtra3gfxWebrX/bL1hLQOrapeSJ+WK8gY86o3nQFdOcNi7CPNrjRQnUex5fPxMX9Zy1+2
dAExni9Cf8PotnVnH1NArkEaDD8gBob7rHL9zYDTY80B6nspBy8Opu8dbECEDSGLFknSOC9RImpV
i4tVMFGKkzxaOQZhbj5NRyJbRATiMDL3WhzGa7MZdK8PCHHRnTsNNaNWswA0ercN4BN5xLt9R2hy
0ob6KipYf61+eDL04UhqqcsQJitZyrUfpcMrLWnlemI0GDp02qvdsurGlWEe2tk6468XRN/qxB+Z
2Fboi670uAPaEhnavkL/gWw/461dTj5zgkVZx3vOYhtdDJRU2zCkfjKwcmyKPJyezNaqljs8E/TD
DoS6w78MsVasheGmz6DLrCtr1l96wVKhGc0LFiBKKqbg3wPGwSxveecx5SGvq6AIDskR2hJzUh90
znDJKtZADH6s45aWXBMoekE9X651w249rS/UriuBbn+c6G1FcSdNXlO3pJChS382ySeGP4ejvc54
bovlEeXAvLOG4U3Rdt8l5K2FLk+MT1TLSst7Fk22guV79q5+Nug+7BrH4FjIbr1SlNmdEb4ldvGi
Jx01sq2fG/S/cCwlT2jYjEfDoDEc6RJPrAzuCA+7LifjGwfIaqv3dn3V6KJ+6rTka8yeFrRkrYhJ
HYeaRU0McXKKGXx7aDrdVaNaqutlOZ1byJNJx47Xu22JINp9NCOSoKfsmgJjvJvlWFMFmqeypq6B
L3ANE8/h3Ii8tV3mLTTXH5QYcDSF87YVKb8VSf+NNcThnQ6M/Gukc+1zymTPSOQhtXjCiJ3W9hA7
CwosrikMZ66zJd3nAtAIDptoeMwqDV1LzeNG073HVjQB5cWLh2jfxLtNnQO1Z7zRkGF2K0cti3RG
xdf3JbV3w2wUzpLLQacvd3kUr6qiLvZpYOx8vWsOeLgvuRZeAnb7umYfAoZ9E5h8z48dHQ4C+m3K
nWp5VgMekxvfgpYTUBNwuEZoa04auRx8gLXsmflU4JddTi3zSIOIqX+CorR+KQBorPuhG24DSJ14
fXRudt7muxb8+XGiM7lSejreJqQB3VdQrtdMAzwtQL09YjveppzovY9drm6L/DrqTcooi35+4Crj
Oij5mFTwDI+otL8x3Qzf6whRIF2Lng5IZ4NxYHbYaTxNCoP3azo0/C11dlmIvW8ZJvLrlF3v4+nn
vEksUhwdOaxeaELwq9JFpcF0WIkz4x+Oej47V1ySR0SjyrZmUocC1Z8IEqKxmSx7YMDz2RWCQBdq
KBaFoDwDpGKO2KqSQacWr4WOyjxiGaMZmXiZJFMnsduj1sGO7cvyCo0BhvuKj59Sl3rVosCKNHG7
ECFWnSVR18OgIHWKrhRPO1tcxy3qc+v8sfeqkfc0tPzHPx/87X9rLxBcKvDQShzbztJe+YdTu497
2QfxlOyYunAQN2nY2m37UpU0BWMdJtKsGQm/grvcznCSQpF1LDXls119cavyUXcjMq4hoG6XMqOT
uuY5Uj4mfXCHb2AGZym1vUjrbhMOOBDLob9zMo14I7elAG6Dp49G5scZSRriPWqz8OKMbc8wlOkz
gmj0yO0yKkIg7JRjdr2QxjiULEWp5AzUmqwhtUwE52ub2gt3089DWGeY7n0HF0QjtTNvKqJJiBzi
iYoK6H5murED18c2Z4z//RY5EwGTQYGkFYiR+FNHCgAA3kXeFJwknCldOfjHpqMj4QiKriyxn6Ol
lcrvY//veN0M0qj+0qL+l6aYqxhmMBlkpko/99e7asJQtSORdLtYNhZyzTncA2FnF3Iq5Hsaw6zQ
IUUMB6z5l3bV4qr+3Ebk+L7A8ZgyC3pJv340b7bRRYnqdi7DtpXNor6J8eXcR4OTbYCCl986PfY9
X5/hiixC5j7rH1QpdmhFjJc/P92/z1Ms7oA0MHFJyeP9qQ/ciQ7dWjEkO2tZBJaGASR0SuhmhEyw
SNYDVtc/f+Ty8z710eiPwulkPKEbFN6//nwzb3WOm363a3zT9VKEcl4V8E9GSjxNg6OqD7VhQ1IW
DMygz/Z//vR/eZuZE/AF0I99jLJ+/fSMi0okGvbFyqUYS2jorHEZN395wv/lstJlFijclriV38ZU
7KaYO6kldrMBL6FDfrmp4/GbNjU3jUq/Ti0IjD//LuPfftgSFuPS30aKKZen7h/LVJXXAWVJ1gLD
i5srpvtQiVqrPrAk0MoZ3EewajlaR7pn6PHfsjGddnj1yhU5EWTN9dH7nD7/+Ts5/3KnmSM6NnQh
iybwp4cLq3YdKb3kHUvib0VpTz9+Fr8JfLMiHaubP3/cMmX89GTZiJCkRdcfahgH818vQSfwT/vE
T+4QDt3UQqgNQrfcK3wL6hRV88ronVcrjZ9KcnhTXT7VkaMRTzec8Ke9t+6AV8lGtfDnr7VMZX/7
WlAObB51Xm3sFL9+Leye5RQQrbDLUAVg/6F4diqWGmB1bJlCHLqiug5pkn0BIF1um4JbpIUkXEZa
8WLUI40p6rhVWgpYvWi7KTLMm4EkyVUbx9+dZg8na9zMFiUIjDCzMc+kul2wZ6DdDLrY09rAC3ED
rOUchIQnMFtapo6g7AKMwGi8rKzFHGsuZ2sdszLezWwNJRsEz9LKWsZ2Hxsb4Zz14c/XRvx+bZZJ
MkgBEzQFgIpP10YZ/dhyMCx3GIzH1WRX4EnaoF+lQ0ZfDMoYcRSQEkbEjysgSPrHz6S1urbSClWt
K2nV4qPDe1/D0tE7zbN1pkT9UjfPCVVpA43utISWrgD1Y3jM/rqeGct3/HVBk0T8CtxLtsNQeomz
/+ebRy+Ddb6m2KQoRRKsXG1DTw1JjAQhL2wSqZ3sGrhi7RmxRJ2eRtt6wFPz50v5+8MvSXji8QKi
AWnU+nQlsxikO0Yf4rqn+igGLozgSYjy3vnLB4nfVxpGhwa2dya8UsjPKw1TEL8SaQLQnZifOKbu
MaZk3layzS/p3NDhkHSloqW7jHSpWOUJCQmCELE1xNVgM5Thm+AIH0FgvpYZ5z14Zheub+IVy5kx
5/BOf/u6NpnNm6SO7DWfs8ufr9a/3TQGeAxAbehH9m+T45yTq4CoVu5CvKEoZy0AovkI9RJB62rM
xsozh+59OS9NCe2nrgovU+b+ZcX6fYGUyCKYJ+KrtX7fJnC8N7I0jHKnW8UPU/0v5s6sN24ky8J/
ZTDvbHALLg/TD7mQmSmldsmSXwh5EfctuATJXz8fXYWBLRcs9NsA3Q00XOXM5BJx495zvjMDDDHR
Sw2FJN52/ujTzN+VCQjBDDw6UNUMHbLirw+qVRs9lGmzYX4JIiRv6nm3jiUXRPlbMKmCBi4F9aqF
3ACGia/LpX6uiTE+O6sqydZxRnjGfC7sdjmMHLw3OQrcjQ3wb6dFeGAyS13/+Tb9vo/yjcU6KHad
Fdfy7htLMbkQxXi1XA16Rt0hYcSDmO8HnfMTrWyMynrxwdDyHwp+Po0nQscqzLL9/k0qKB1U3ZLv
F2U0NtvasjmIT3A7a3sisbunn0pSJyfa4Qgn2LnwLRqVa8+Qfjt5YSbByimWfPIOOJD0+YhDU1gE
bpJpHbRUsw2eXqpLjt2rzIpgNLrpa0+kMjg4mYyfg95dV7NU0K9dxy829uFbUKI8nSjUD4hx7TDO
O+A0kfVY4AglmJyhHtZT9H8MHYIEj+vWjhRI3XVC6XKKmxR9kh+zjbqwyWQt/K/rSdhJez5u0plQ
RJ8tNOjbpkEcuiw8hn++lf+4bDiWjYCHmbD+F4/npwIFfDmaPptlI5775CYvGWOucLTAFHaPv7CB
1mZzyIUR84W2Od1swY2uFNIzNZjFvnKkOrngY/9a6yH1MBqdoZqi+mzEru/Nlx+jTbsxfDQ/pTyV
jLuvcEx8NG9eH7pf13uP9ZXiFcUJFGnxbr2Xsc0IVrpdWLlsxrheSbZz11fCTsaLWPqkcEHSe7G9
yN1Z7ph/sGeuQX7vP9+0XWGheUFrBCji19fY96bcV1OFirVgilabcroBINnvvYJOOFFK9lPViHKb
Wkl+HFYzf26zQ04afWw8EpwbcyC5g46aO154TNm7mCiR7YMY3f6sEz+Qz/Wz1tF8/TF/oLVhYINn
eJ3tkyiRz6JZpwGCJntGUxIY0Nrjm9Z27tKkt7JVNn4lsWt0/1KOq9oVwT1AIlYVwmvf+C9Dj0LT
v9tdVoTE0s1h7jJu/OBx+72ywO/o4ROHUsWu7KxX8afHDdZ/XmWAGsOWIcWPAUFpryNhnGfoFHkN
l75QcDCWI2YhBOMpFQNZTQwPGsKdGMMsqyizkYTVsFvfFuv61joPdgZgKOqbl4qJPnkOzCJcAmrD
P3/739c9z3SoKHjvdY6p789IOLCbrqTxEmqeHRoR88V1qchnTsU/ulEkyH6w6v1WPLs8U9SnHMqA
h7Gxv3uqEgPJvcw5CdLabjaIxcE1rZP7H7OY7sftRRmPPWTtuQyIRoZ1DDj2rUeeB7HzsgUWIhCz
IIZmzfnz9Xi/Uf74coK6lvdtVQ2tf/7TzUSTnWVaXuVhmqAj6CXfAQovUwDuU7Felf/449ZXHKWS
ZXCY+G3byRsBC7XOQyXWp9YtL2eNggr0hr/l7PjRidh7/6y6rHGsKCg6EbJBRHv3rCZyZNoo0yRM
kkRc+ulosxZKdzeR38yoiQwLlVORpBXhZhZl6CEVKjoYhkbANEkZn5Rd+jfZCL7CGq47x4Mw6fTO
xlZju1e8ozu6K90FFrIq9BWM46av0svKynzUKiXTzaWvgi7lL09H6ayz69uUdvgxGyojqLMOOhNW
2V3mec2BM4wNz6RO1c4m7WerQyA+TsCv6Ui2exm3dki2p3VCy6ExUcmvyVgDs4McLHRNDEc28YbE
fWoZ0T55fI3l1Aywuo+7ovIAFCb8ASHOX4xVbWeodridKdSCsogywJCc1CIsb7QN8TsM1Ny4wZlT
76q8tE4IVAU6sNzPdg6MMeBhdnoaMjkqlBZYmpQWWaHltt4B61p6qTVRTH/3HtvSdZyk5k6jO3zh
OQR35RhLPg8K8jERMeKDF816X6iD8qQIMxHRsirpnNd/fZaBSklfK9jlUVB4hx/nHqtANVJ1OpNt
aqnMLPXrpm2rMGoUmWMkOu/NZr2BwEt3niQgCGUPdb0r3WyXFsnXAhRJ4CE93LAzOLSURntP4lG2
A4XDILySVcAQwSbriqvtWYv2MNfKvvTXvz6r++s+MR+Ei9pETYSPw3Ox9oMsq4OZdd4HDaf3mxey
P14o3mDqGBaa99xLVk5DWG3ugTtZQplgdGQS++e39/3i+eMjXBSGwtdBP+nvLjCnMEEjIPYQDGTN
rh5pv45y5Jix+ke7nhT1WYNZ9ucPfV8U8KGsnTbFDecJlo13K1SsgWN2EukGLaiAPcMv1PCL3jJ2
y0FPWIz0NAvHfy11OBt93n3Q1jLe1/buSmNEbUcBTz+VjsuvT9Xcwl3LytrFpdhAciYCjLtNPuxK
saEUFP6x8XsvZLV7oO2Qh4QrjY9/vgQ/FHA/F0Y/vgMtcpOzDKLfVSD+8yrNayNdU2pOkDm5thvn
tjuUNr7oJde7ZSPH1IeboHevxJ5FRNG59lU9oTqtetO7h22LiXx05bZTdhYM5QJKuQOyV7Ud1V3S
BGWeyDs1z91RQKE5Nn3iXrat7RBdo9onM0aVsMHRBf7Q728sN4b1NmrFB8XXDyrkL7+RApaWqWMR
pUyz7b2YkiwbQC5socHAW3WpLDkFehMbBK/W4+nHj/AJ77vR4aysIGxjy+CRNIZFX3aFgXZkoQTb
WfQitlYSxQcfksbOrTON91rvjtOCAwotxkEbHSRkHlnyaWzd5iCP941cYWaQBA5F6wAuEouH194d
mWp3e6LgQQKCcsTA1C8ofOp1xl5pQdmQ0CAjohXwJwe5bLuriX8zaJwRiUUS32F11LYOgCk87Q3k
hMxiERpOQg18WRtGTtwm49lM3f5ZA0zw50fG+m1j53LShEdT6dIKtt6ftRrfj4hIR6ABkIzeyaBJ
bFXjJYyP+5IIp6012Eaw9Ab8OAfshknHa5uJxiMnCz6+ltK9ypkvbwuf1yyrRoJb81h/bYEcMl72
lwv+FudyHAlAxF5bHWgkDQAGEifEyPV1yRpy37OIsHpyuxiodHbQmvApsRTKLfSBJ/yrQzBO2kNJ
Q3qXA5b4YN2wf1utbIMzN28sviteYOPdaSKDGufQThGBMbJ5k/VnfTYnxRCML04k8OARQ1qDA+8V
hHZLKzWEOG1yAdHeO8w2/uUsIbyyLOryEeI88o6U1y5fOgH0T2RaYKqGB9OJtZ1EHLfTJc8IgLps
a6Qe2BvywoGkDOE0JwZaAvtejdYzIZ+AfHz3PkrSb5x1hk3DfIogWM09xIg2znGVejc99eQ+KbCs
+2PBcbxKml2ppj506A2ENiO/gMEkD/rIR05+YX3Qw/mnZ4fJhU3Tm7Xvt6IQolHCjJJnZyzEG24D
72Z9V+QAGVUZ8fhBG9f9beeCFiUsFGp0ck3ffY9SLgd6VfrQs8Iip9plzKGfEZYlFwRtGGTFkFFu
6VF2lTh9cmF6kgVPUn4Zios+jS0VPMmKW6aJn0Y/ulSxc44W0QUGKh+iKOc4q3ctfDr+CSSv/LPE
SK/pHD7PpczYPkzF20zZ/ga3YLk11/AJo13wfNU1GAGLd6DhUHiZdbqzBz8RBwmS+EcF7fWOgX+0
M8xkvG2IQAHzhE4jtw1aXCCW9rHG0QYxl39kInvb4485+PnMygEB51w6lXspcVeclc6y3DV5HnTr
12FiWqyF+PgoZp6tbmSbgbTv4dE0XaKf2563sNeyK5MAaGLdKnLvIhesxmgwzk6SWoNbQk5xN8Za
0HIhN4lrOPuEXhAVKC/E8sGL9g9PCw8JvZhVj77ukr9uTh2YgbwkxDjwJKKcTHD9ZCPYnGpgD67g
hfjz0vb75zFVRJFOicVBXbw/pTs5vmRtqUVQlCUFSMPbsHr2j2iOvAMZmu0Hb4Pxe2HJsU3w2wAb
g8nET/nrL/SQt7VmHEMCRfWxT2eUoeCPncu0ZBBVLXpyMfnw/OPOCUAHyYPsWC6cvLX2JMYZW1dV
jAKUG20nTs5E3rNR6SO3Wq9tiSjB6MOm5aekTi3vyo7lWlTr5g7hkp0nLW5EVb/O6zISVwJC0moC
hQXyin4RzIODKjQjmnIX05t8qD02uwXAazEmecCU4a3Fh75blHjL3eLVTPjumt5PAayL5YK+lrk3
BlBafi0fuoVn3dBY+X9srU1OqSW9OHlGUWaRn4Hg3kDki0aEt8nHUx0mPIIXdVLoF+ATV0LhupuW
uLrjhrokT9lnIPcsG319V2eT9UOWw/ylWljf8pHnfGl5xHNJuhPKYvaenGWXGJEWxnGuBVw3i9gK
vlADSwhgJHu9ryVMAeZ2+vtPC5536B+kqrsap/kaZchugLW+xZM/w0zjb8gSkwzFNHd5WVguUkNR
D/QT+UrG1B2TXvfORssAfyAP5+j3sQfYhzeUpG7uU0wFUUV+T3Ii4m80331ISI68Sg1URFUf1ewL
/EyNVMurUVuWXTMa3X6YayfEo+QfzTLl2hXCC4vFeXTw55bodeGJ2OaRt3O8xFODeVrx1sRi9kK4
fpQsKWX0j9fdhzuKGwKqq6axCzTkY26TkuufwPXj0M7t+PF2/Z2Cd/NXxUUs3s/s9nf/99/ER/Of
H8l5/5ek9+u/8e9z+lXWXf3Wv/+n/j/G7zn08n5aY37DvX/63vX/tflexa/FzwZO669/72/7pv4v
WqssO+wEho3EgMPPX/ZNT/wLz4oF6NxnQMT/sr/9DXs33X8B1qbfTdYepkHX4o+6euiT//lv0/iX
oEQzPZd5gbcO7f+T/L13a+JqA8WVyAGF4Tc99vdSGkwycVtAXObgN+RBqyO2HWMn3Yk096gf5g+K
9R+100/F+vp5cD5obLmrNYgf8uuKSIxwtDo1wd2R+RnGZp59pwZtb0ejavbTDMasjBbQpgP/VAen
cvQQTCdioAyOiq0aTQtYReSNu59u29/P7n9VQ7myC/ruf/77/fDpx/fipIbHiNkGBk3z1++1QosI
7S29EGDi577iexiKSZO7iIPZ2ycWrTqsYcgFJKROu2Q+Cznopz9/iXflzI/vYK2eXBpqhsXB/9fv
AGnIoaOLVrEBuBgC74xOHhiKhz9/yj/ccds2vbW/Q8lEvOOvn+JykfHvZxw8a3EQufrkgas/qJSU
+VZ16oML+w+/ibY4v4YN17R5kH79NIp2Q58yD+9m5ToB2vSCIwW+wj//Jl7Kn/vv65VDP0KO5Opr
Y+t591SZUW60SkRuKBKksW2OkLoqhruxTL/++YP+4eL5HDaZ2PF7GI6/+yChLVzR9fGNUqBepZa9
qXQBvGpVN1aW/2ezyL9+Fcdaqmm6kFjAf71202DXNVIoN2TeBZmayBTOzzT6ywUG/5Q5HzQszPVe
vHs3EaoA0V/t5KxT7+5Vang27YIYoaqGXZMOqH9J7aHfFQRDHSlI8h3adydIgEcclhr7B8mw0RfU
iXgBKhChEP1kaFXluLNyhxB2XRAS4eDs2QkBQqU3m7LZeUkFzp7wNIx1JbiGDWJ34qBq1VJf9wvg
S5E5IzJl5xYlr7z98/37p/cca4tDr4868PfnUVWpqcScumFcJeYxE5p3nNH2bt1RPGpzRRgzTmGE
O2+ulTTAFXLzQcW298Gl/qfn1WfltjFa05taM0V+bsvIjFgtgakoLIoBYpYNMJzyeGPoifNBzfv7
J/lID2iF0dASXOt3n5Q0a5AfAojQjdJyOw0MJWVdfu4S3IofXFoEIr89QGuGK5GycC8tRgPvlhZK
UUvDAOCGNrIa6jQtPUhW/BsgBtOdo/EgmG3/AKCm3GdDP+c7ht8EvzuETWzyelIHv2uIfqSQBvQ5
COd+gGvzKkYaxNAkUdZb7TDf+11vX4L1qi/ypEzDipYlgWfGkE1BgaYDz57B1L50h6Puz96hSWgN
+bKaQ62lby5li4lRSB8CwaAXBu6zWkSh6s12G5dGdB5IQryuMHByEko6Zx+PuJpGBNbXkV5mr5Ci
yyN+UbXXC385zL7QqB0xeeVt7z6n1mJfK5MfvnRIYrSIbo3wpQOizYzORjbv/LynNI2aElJjSmut
NJAUTkPzYJuyeTaHqnn1Yt3D99KSTZ3MLTilWnV7txrnoPIxOqR6n91retNee3pJTOVEt41SeIIE
S5eifW6mMTrjLo6eEn9JwxH3wldHrbiVSLdeEFJ+qhiog38mbPIi6+W15TOVdctkB57vYNlaeahG
w8K5OcbmHecVToIWw/EL3ba664UQMLyYrRN2jJdCfs7q+vEx6BUtFL2lHgrC9dKJ+R3w1UsfKCG+
ipxqnuo6GlwE0G0aFq0av1MycU2Ae3H4BGJTEzUPtT4iipbj/gC91+4+GQQIPAnbIwCzFE0HT1Pq
/hNl20zubeX3YPpL+zgMaKxVS8CGdIR92Y4OTq1Wj6jZY4JZtu3C1g8CEvLiJivsetjlo5ceTHrC
QeVxv81u5PKNWkeSppOrHXY3UOD6aKR7uxHiBefTfEFzxX4hVAJPh6fnyfUYt7rAdkdyFCgmnRQ3
Fo+JldOemdkwTvefVCf64smySEgZdT372tJJZEoQCZ54n/iB+wKcHrkPiWrwHsvoxCluC5nffVti
MKcbfWDCtFtbYdjzOQYt+EqG+dLMy/a0MFCqGTYoVDwOiXkJ3N7QXChwNqwHJR5NMfqbuIZu79uy
PTIGdzdWnA+HMdKnM840mGiZjUmihhwqt3peljuviq7yYYoP8P+IFKd7y/dNFDRoOHCr+rck58Df
EAW8XDLvD4bRaE+g39fg8aq8tyoF+Smdgwn+/gP0kWkPJbgP8KM5B6XVceC3vY/pELlfW0/Mu52J
56OA1erj/RucwEWT8TSijb2w5vY7cHGGbINMqU/b9rMfQTOhQLXao2aQF+NoGX5jMjPTjbFA+qTl
b+/aIufq6x7ukKHCQ0gf7ZggFOe3ipj4j7R81WWcXWWVoQ4YTqJvucWRmQx2pW7HjGDmglt8H7mW
fkAFXOzVTP6zxmzVphSVX0dYtOj5uvngK60MJQ3BPad8I0DjQ1gEGbzTSIE4LYZ9EeH02E/uoKBT
ZPZmbE6EwnpwcT10dOWiOCh0sbel4fkISx7unjTia42p8gVRKP4rrEHr0VxwwMBltsSGRLthJYNH
B0QQGHDLnhR5AapQeFp8SgFl7JyG4hhqYHIRN+Oz50nwkLUOslEAq1XDMBxktFTnnoPlsG1steDt
Se1NjLGu2LjrGd4eaHxNJJYy4V6uOqtN9mPmLvdm63bnZsnTL1PKiqtDWqdLTXe/bfPppsPBfczo
MDw3oMM2Q774jwi3yWiSMwfh2SVFws+eBzAOqIbKaetXUYcT/CYqyjvo9gVsMJRParAIj8kzhBDk
QBWDpwU1Dq7v5Nn2tMgaoHO8a5rxDHDYOttFd1ZRgpynyeLtpPR5a9qzcVn0lh3jDk2KQBbYM0VR
q6C2/YaMn54DheE0Gxhm4x25CRXaP5sGQNEzi8oq7Y2B26ZUrnigSFpCZGbtSpJ8Ug74fMNwxF6p
2jjbVU/vTl5a2Sr/NDRUWqzgYRRVr/T/OGbzyy1Mg4QO15vW7vF1u5ghUryyk4k/2hqUddWqIbqr
9Kjcu1FMFIBnn+0avDOCxQWnoEOvQg3t58iPSIicyVp25uUGWKoXZIpMG9zAynmuXDCnRhHPASjr
3Np6OozhrV1pirJqrppH6rLp1qzwnpEXHoUSmd/WYLHB7Yrm0Wg1/z7h975IX4101KeCRlLhlM7E
ct5mDH2LoXbxWtaRvhcoEsa9U3NFsC0t7k0hKtoxMYvXpzGR3RdTA9q8ilfkcKSRMnmBU5XVtu+W
t5kwnU2crgRtd3gtl6I+8tctOBunLshsaW9R5rW7bi7uWPt3OovPFS9hGy5Zx6DB8vMXU7faE9E3
8BiHBZHVvGaDFDG2/pRgCrpSvMY4mggenq7JiHlC7AJy2dcerUJBBWGTv3FAaQcdxOscJ6NBRkbk
KJ7cvCMh0bXbe4bE927atYe6yTSMYHgk+w6m7jR3Nk7AYTgORCezyg8VQUNANui8mMCS68IJWVIw
mMlO36iGQJG5L82boSlSLGpJ9VIjbd+3tthHBL4QE89qMXV+/caGBBsQsuFhcfTxMTZ0Qr/SSajv
slgEzlC9YtQvaYwti69TM4o50LBrET9dl0eVdm+1adanSUXGPbb2NpD6fJMyXz3NiyAS0rcgpyFN
GCEA5AABllzuE+7NdQt67+iKNgo0oAR3iyhi1LnRN+m3wxWKmzgoUsIncFmTUkRKen6YRn0KVUao
zIAjCzq/ftsutodUOUE04I1TsEQC4WZsx9WJjq6+9SZTDwxr6DekcyxBPaX5hY3niFZ1OaSKzmav
QP2TgmZOZnERVWbeB1XPFfEdxEhR5RtHG94iuADnIreH51lO9Zm876upqLtvAv4C4b5Ws4uNYo25
N68GiwRzP+q6V6tzBMkc7XgsBZKmWnsiL43opWEhBoXslOpURyUSqmYi4mxwyscJk8UV4VIIudgE
D1MTn6q5lI92k3g4dDxz1/qj/NZWamHnpijYmKS7bfF1qV1jsjbntRNfuU0V3xpjVW2B0TobrzS1
fGPpRKrSyBhvIB9+ambyWGttuEzMsdiWs9rXCes2roSGUO9pJ2sYp4wLlxCgPukh5rjpQHOezQUO
pJmm6S2FvZCkf0UMn8g121SWZ5JUVD11mZYGjVvtx1z/WjnpYUCYfgQ5DJ4VuCqAaJcMGDRX7H2T
fehTQZjPCknwSWuqMTHPzjyThNdo3smvCZMzrRSsdPHAzK3ctUOONleJHfZidIP5lGNWJRTHSbIo
xAZG8Bqfv5Gl+Nq3Inp2SwfSg87bjMqFGIjlAFL9ce47XI8jUQfa8ORl5niTMFfl0r4wGGGPTrSv
jN2eTCs/E517H4/sUGlpXANe/h7n36XyxpC8igFqRfxAMm6yKdsGlLR7mQrjrJnE6hbu0F0WUmNU
gjvPhq4TRsqCijkxC4lJbmKXIkOkGUPLactPi/WNVlwReGZLK1tl5bZoG9DkYta4gV36MNRpxypW
PeKyf0Ksz3/b17yJPk+ggxKjeMF70l90kO23iIUh9ZbJY2L6B1GWD8rLXiqzZUBuF1vRVVeWk/Pd
TcK2nGYEpQoOGedArTamNmQ7W9C/wDFPFp1qA+UUdxlv1RGC5RfaDkdHzTsNrxQEK0D97TgSP55E
B8cwx+vKj8X13Ljd974ofJpm4ggNvTz5qVgjlNUSlir6QkATB3OO+w99S9jKesjnldWE8zVZDMb6
6FLiqBSBxA95mvOC6IdIJWspxdjQtqCVM2MEl4Zbe8fsQ278qjqbNpDKrsKlVDSRz+FeERwUc0To
FGbvAb14EfODM5OctckcyHmz7YoMRO4359Z6ozT33nPia6Sc6dYx5ecRIx8ssX5TOVSfZW4SFBCx
5jcxBb3l3yWLdbay6FM/V1clPPcNrtYB/RD608wt5DFJFuBzdvWo9/a0lSO2W9Qnz5kxMhFwswbn
xhdXsz85hd5vF8mePTcdN03mT+g0hhuid8uniWYoJghRHCSgf4S+Zr0nQHLeNG2Xvabj0IeJnWCG
pCFycsFdbGa31XZtqahtXfm5wlseol7gl+qkupTZeC2MFnBJaRHZYhXDm4ud4hrYLNWdYxXBDOw7
0ABY7uZcP1ecWYKM889JVRHFETmQwpQ3sueAwcy9fU4aTYQV8+aQFst9i+WRlEOS0sb4ijTC/rpr
NVIxWDv2th85wElMsiqziXNzasj2ajFJcsSmmge6w+HYq+QnK4eiPWA0CLCx6/uYxHsGUc70YGoV
R5eKwE2F/DKIAd5+nfhRJxeKx86ZuKWmMTQHM9GGkP1Wv2rahMw0EgdPZXuoZphLTkX4hj63BTOv
ITvnlmc/dUbtPHmT+B5NBmm3ZjWGSWHpn0gt7A+VkSEIa0b5RfFs3/TSc85zCtw4sywtRHEyhlgD
EhzpZAiIoSv3Nm0chGkJaoM2lTFpHaRIUvd17qO+5mAOcW8FOsKPnIpMeOB8OmKKhqRBO14W+oYQ
ope5pVQkkiT/GsVJtU9bY94m2MV43SDY+5mw6FVn1EqZjsKvrQRIVsc5NbKfX4YFCq4iYqvg9Q30
zhiOkc0wSWWw12UZTzcpQGCqxbw5YdwYUZk5twmNqO1YcscXQroPJpOeYKKXgqxMDeCtuvRsT1Ie
M1LBK6TGgc+LzlmKBA/yxkZyfSR1JQzgsw/eizK2SBAVGwqkdZQcm2WURCOYTlgWvbjgc+Y9fsck
XIQ5HghO9U4R3jt6LjX43JRqngPYvepM6zNzR2OLt/Xb5FvqGYgi8OClOLdTQkJ1unzjOM40m4Ri
4iykBuVbG5ig53K8wN31aJriEx/bnSrpHxNnsPcIcGrCDOZ5KyNabiYxWh03SiZMpTV6Q5XsrH05
6PSCSs2g65g6W4hFPD51DWAmqaM44NBnf8LRTRiQWzef4I7Epwgs78arADkAZ149SplT3dKrqB4b
DZCM9JPmNcsT6y4l3/3GbBmxJjNHQ9ILUnmTm/4XQpZhxnEE3TaaBd3WbmpS3hZ4274LW7kZ3Mu8
q+QlWR8QcvyJNIQJDWPTRg6BV3UZMmfDK9xh6YPimZ7mBFD6RsjaBbVF3mlWLZ9VZ+sHZFHzc1Lj
wCmyTNLhcL4Ax0VkKfDj2JYR7yHyNtcFABbCoGe0mSMnLXRP2ZHH79a3ncZgIBm3hym2kst4rEiE
rev0whyJq95oOR3Vi2IaUOPYgzXezplufxsz1ZonoDNYDBXW0y1CAxeQF0rrPRPmSezlkIAV4SFz
t1YDluUyifv5YSkZbGNC08DCwO/o7Z2dy+JZOWLYExfBSW/plwfdjCGNjwW744wgkqnJfeYMrJm+
zL+W8F0CopumnTdN8V6v8HbmGAQeo7y6yPvxyisNeSpQlSAVZe/gXS0AN8mSEDkMT/wKd+mIO4Bn
vOndon7ig+RjWVQ18mvWTqMur+qqz4OsatxLkfhGQHJewjLn9dVLUzfWqReluV9s0ip3dt2i0xXR
+KjaebnPo7F9SEFqnfXS18Hy4MTQK40BsJbRZe+KpjgYjT/h7HPTYYdybHE2/WywJq6RbxtSWkED
LT7BurGrtH3qkne1sRHNboueEOPWjVf0YZvjbM3ZDDYkBWgN+K+ugEGsmlcyiEyx3pP8wWX9uRpK
b/guK4HXDyZoFQ5cag8Bslin8qa8i1Co6EZ+53h+GfpjMm0F/ctNA6bprMRwY8dQyunk4PqPEKQi
5L2i4Y5yPFIoOyIWXuYIAbEowJyZl4c46XdNCmhjcOwtKREkYk45TJXRb/OzAE+/ydvuyW3TLNkl
uYWQsWycV4ej1MEfPRB5kugL9H0EUi39cMeRMuL9L7OwJIV2P7UN36pPntXM7gcza9pjzddDWh/f
MDnZx2pCMVwv6mmYk0OrekDq1Qwh1ov0m86suj2ubX0DDS8nmpPoD3gNBQbEvD1ZXnoHCX/YIz8+
RTaBuTApLQP5RFLu6eoMZ0Bm5pepdtNoV2ZIPqjBZzeEYjEKWqFNf2G7yKxcV2ikb0rd+wbPGszI
bDafaH80t5XX9Xex8vpnDzzmNVeeczGtO3Rh0r2mllNbp11Frbx96DLM730Sy4O/GNO1WOIlAsRX
RF/owVLh0y9vLiorJt/WZs3D7tMhGAkIB9RyzEstCoe89vv+Lbd1Y9oTd7roO0dNjB1LUeH16qzG
f2QvHcQmsQq6WWIeOAbndSQXkDdzQ3BrqTNSBeCJ5cgtz73Is8ccsN8ekl572cWO2kX6OnGJUu3z
3DTbCdc/+M6av31Q3Z1QDVJxonauaYu4/NWdT/uio6MnXHeiiU4tiy9lQgp03aA9KBMTThYzyy3C
y51o7PE6Kopd32Ug+axszwkowq7RvA2LfKz6yX+scOaw7carFjCuunLnGstzWU2fli5NNohwzYBQ
rJ2GiWvjNX28recUBkZNT4iBzjEuUu2pU1q681N6l7TdoY8lS3pqookMQ2hEgDkqsglFdoCnyWF2
tLEjdHCgjlSwI4E7snSWQO/ZFTd15zUoZmpFZIX0sBDYnRrIwtGg4UMC0bUrgIlzHehaSR+HjkZy
b2GNu6Doq49m5tR7EpSae2ecy3rj9g7+N2g0TKlpeDjRZhnM/qazyCplAbOcBz1u2oPMYw6RktNK
vbMiW54ApuiElOszSlCvk5s2pq2pK9d55ndBcJlL0q/bQdRP1oKrdT2xFMQBxGSkGUtrfZvNlqKX
LDIfiUdlmGCI2ubRm9fFklQHWsi5FVlvtpOblEIkT4YZMwS2N/oln4Deu8/9jGqXiVR9JtLVvWPw
6R4d07IedUGq884RGryiWLPVipTr/Jdx9uo1ta2sjoS+9DrPtp7STnNo2g0CjcomQ+aKQcGwje+g
9q1HIKP6E8itBiVRRUx073flNSHLJiMGMo6XDQap/BvwVv0IjnM66ExG7pFIRfEuT7SOfad2Ps+4
Na7JCiq+FC7yXQLL4mv8LvbzoFkEqHRDXL5mwl9OTWmvgSoKYdWmgKhGxnUpIbUQ3HfvE97XkNlr
G68d5PyDkj0gk85LnJtcj+hGeG0X3wCIprebINRMsB/p0Hne6sqsnxgiRZ/KuKxfALOqvdZx5TMu
Z350qCQPc5Uun6K5Tp4rkmNj4NZR/7KKr1/pAtufCwCPiM4WJARrDI7dUcIvFsj2ikfk1Gi2zZZS
Z/uSTKM3fHNqq9G32VawgiHoeXa5nUG7PGnw6I/WpM9nqZT/koGo3+puB6Jv9tKTQ5t5tYvADmpq
Gb0uNFl4AeqiffHQHJ0Wam2K6gUUdU4BSMpBCRMzHsUDm1f1fayG+oa4NT1k2KBBZhSSYMCUIsjI
tc9wTnScxcgo6N3oQLjISw9R02dX6DjILmDZR8BIbsAN47KeU15Mv0ukBUVJZZbN/dwpCb5yRclw
pKIJaZtddjZ7VcBHmz08K0l/Su26+ZZRpLV43XAGbDNj1SiaXlo8dL7SdfybZX1mwfAaaM7cORN7
dR1yTIaqMJotp2hCmbNyX6UFgjKAU+ZXI5Pqloa1utH1qL0HD1l/F+1QnCt4aadliJw3HwX9GS8E
kUC2q2kwrUbrTZAy9R13q4LoiWD5pUJ68pyhOnM3BTpaB73VmoqBk86OSG2wnAOPqv+/1J3ZbtxI
2qZvpTEHc0YPtwiSGMwc5L5JSkuyLOmE0Mp9X4Lk1c9DVXXDVtVvo4EfAzRQQKFgq8RkkhFfvCt2
Gcu+bURlUJhSIMRb2H6jXxPxZd8FTpa95kF9Z3igonnDRNKPpNFitwwMQhNFlZynTo1PGTXuzrIG
O+2Yp2hjdoDep13TAusJr2+yDccAbnJX9gwYmsTacIjDys5WYWvo8A2DH12OQyvogIN1ZY0Icndj
BWF7JDIXJ1MCXrFRU8Wjk+V9li5Nl83GpMWRSExX0y/6yh6grfLOvNQ7B8DOaVvas6UTPHU0dier
oG7ubWMs49lsGe77rC6uQ74od2O7jf2NZPh6XOtZ5bwyGtk9QcPZ+BJT4QK4kpZOvCudzGKQoqRj
3PA0x82WitoZGaQcQi6Jy5WPHeVANOsx8h8DAlG/yXbe2TyptsE0y/Y0mj0PgTM+13UyLWCO1bDg
aM17wozEJ4BMMEg1KqgBmnHsAR7HeQjSKX2tA+UDWbYC4++IVMQg07EFwmQvsGu5tbDKhCsHBJuI
B1FDeFj8wa1B5AHa69E28nUZWHTGdYZTUP4VRkBnjRG/+I2d7h07EmTKBq1urLCtRmvsUtVLPdLr
vBxsg+0f6mY8JomWLnXVyvuJRPQFJAaHt6z2s2RXp4n1GqetfhxrO+eAO43Gdpy9YRYCyGUat+NG
ppBAPJL5XgUdRJkDmXaWHnAmHGTHbkLs+ayoNxjxTK3+TqFpRjM300QRlu9Wb3hHodneIUZtdVaT
pdF6b3NaowGwvhjRRq7gajnjj8nGlhSha7B9W842Rbji1Fy+V25vhQsvjemfd8VVCu+7NYMquA2z
jNxss9GGXZwZYb+Btw83eWM/iUIfrzVKyl80CbSDMvM0mkbx2gkr/kZmVqrvJlV4gL92dU+ZNdnw
QWFc4kXWron++p0QY5Y//Cx58ZACY8+BEaWY2Z7lEz+4GMNEd8oyrNz5TA95yon57EjKM9K2jNi3
GVWvelTz3/S+Zyv9tWDC/ju5BBIUWFBiwBHefNL3TKZGcbs3uNtRBu2VJ8t619cNLIIObW8pLOA+
ZzKIcT3uX9XEllJ3XbYp+8RYdHyzSUljlutmgJ2lTlxvDsGUD9LaKMZ4+GbTOOeBsoBlMumQGpKJ
aVdLuzhg56HspokuG5MSBiXABi2UWumyU7i/8SOyM4MfagDb1AtnQ0JwLeqglfRZy7q6s5lQxC35
1zBjajTOVSRf4rywl5rTt7sKDwjC4twpFhzGkEoNtJz/+taZswXj0/fmgdmS10SKOmTwJ6VJxqPE
7bOZ1tFQcm7Qz7Y9jAVVjeM+N5AsqRFthkV5NBxRNx6jphtJq18zBcwaA2WufKwZNM2EfU4ydibX
sUe9jo57YFkM2nHQO867KVkKkRXHuzxOnN8Icz67e1F3UUUBoUXSP/460ht+fvSIAfHL3qu9rV6X
MUccr5/SpTsN4XHS2mtj6OWqZ3MmYrsJD4aud28wXt2+JkdlpwDchJEnvGKKbskc3cavb/BfZXtc
nC1dnss5XP+zSDAAw5OGzDyaEAGqoCID70SlcP2bX2PMEv/P36Nno3jkFWBp/+zRKyGM7cYvSWYI
iBJn+yZ4TSmC14Yhlc/krYEQJOT554afr0jfltcRQ+hAFlWVIB03vSva7BJkM7wspcizK7qS9XGR
+MTu2pF+W+Lru/v1rfkc6zTHDOiGwB3EGkTkivVJplml1QQgwbPXNyaLwmTmYunogIP0rdNLyDHk
zkuuCj0q6J6eW64z4j/DPg0Poz3KFWKG8VXE3vCHi/X/m/76R133/92+FZdP2VvzHyDSNjABsXL+
rw+defBW/EWkvUPQ8RI+pf8410+vb034o1L7zx/+Q6nteF90ZNjW7ASeBduzIQUBRvt//ocjvswv
KhuzjiEOHwd/8qdS27K+YD9Cv4070qWJQLIUNX8otS39C5UeADHowVEUz3/0z4s8//ES/KGf56L/
/O8fJcrmX+R1RPsYJK2L2Y+OK/SzM89kDi5BI9xtDjBE5mczVnDwgBelNlYvdmvVpB+GKBUqTAN0
z2WAmH67clTs701Zma96PeW7hMeWiIr2qstAkOagqce0ThxqeiR8JiNl9YJTiIBZin2WrKPBJUky
w7U7H4iKLqcU1Ija+hX5xrgdwsa5hoGI1DrUS/vFh5CGh7FluOm1bDNihiBrNz2ylCPsVLLdV1Ow
lxI6b2Tr30Sld4XEqdoR5t7dy6DyXhPqLC1skBSo1prfbawc6xXjTjq8BvglHqGKu8MEsrMSwNLb
qSnCHQ0bI5nwRE83Q0UEhJleeGPkXlmpr9YjQeW7ImQQq8ZOLlQFBBt1zXRWIEVrLx5Cg4lRjls/
zdFXTX5UfutBdN4itrWLVtesQ+V2t6Qoed/NqXHPGNY505uij7irhU9UTFQ0JfoRoNM1YpRxWozw
PFt3HIdlW5jJPZuPDl41tIc8MV8Y7/oLP4miE6eXhkICFxkYU8jeGhsHySAKLkIwnGhOgNa+c5J0
j1XU2KeAVO9nxH2QvUMjtHfaC9uLbHT7+wJ/+gVfOJ9TtAQOY5cMhG5fIolu4EJcQS5XkabkF7rv
g53QcSlDJFNp32eHKoHmrFPrRWWKaXaC2NtEFrYRHnibG6XlN3Zmxpt08jnYIHO7R/ZGgisVDjtP
QKWVXWJcWCEmWIorqpWyPD56YDqLOGjFou9FD5UCHMSo6d9hwlN4C4zsFh9rCwgGAtNOofVAb3my
60y3WPa2k11FaRpz+nFDNC59y+Bjwqc5frNWiQNHpGS9zkT4RtIwvUkR4SqXhtHH+26Ovkh9/VRS
EXdSxeS9AksF3waOqh2YVHbHOJ8e3NCXtyoHglgM6IhOhPDShVbq5temsgj81Dx6XyUeK7JS666k
v7O5QkKnLY0uKDe4Gc3LyRozRDg0godDCv8sTZ7aiMPLtxSZYLUa8PxutIx75sVkf2p1TqUl9MWR
WKDympRU5zhFpUsIC5ShNcSvFbEWQEj1tkT/epeUyDWTTPSLWguOHD/ilRIQNhzq8m8GMdyXIZ8O
YI5C6jVl3VRaVmEcXLaFHpwtlGf4sy1m85GgcbQBihN9Y6EHQpGBdGNkV3KAFV/cKSGOFAlrtdNE
bW/qQXMRbM1H0OKlMYaDS0PBUtPVCpQKp1ShLrLeKnduVZNPpcvbEK6TFm5zX+Y4zJdmKLXfSPut
T1luNqseWm0WeUPMwTGfI7J8h2LRomE5gMwzQzoLClo3yjLPwaPdvDwhAyGaC3zfavL7dEitEOln
XV/aBD0SH08747GdevXuZ2FHwWSeHr3eCgjjQZVxKgIrvy+qtN40jsJvJa3QztYtGLEPyj8l1/TR
8j4nH+82bX8WiDXvhdw387qApq4jCLm3qKXobC15/GGb+psVn3iTT+MRvglwB8ZcbD7Iy/RP9v1R
a210jAG6MxHceKQa09Nt3Wju8Ih2Nl7QeNqBzQbVCSDbCSgysdQGEU7J01CXSJu0QNTGmo6rAvMw
mqhtbM4kZJz2bzRIz+e0Ydw7ldrZQ7qvrKkalmZXk2HdboqwrrZ08h7M1HRpdoxeqmooiL4wsjMy
8nrPOFcRc592B89gQjUrfN3LJsFgm9SJtc/72pJoSvV2zX2k6lCBD/ayj7bCG7Jz5yjvkdaJ/HHs
9X4WOeTPZmZ1lyIYq8s0qMMNycLZtmiVc1/APu2xCPrnMYv6a/7T2dRTF8HlW+Fh6BExekQprKcM
vY8i9R1DobJOpqvGPW7+Vlsou/U3AVWlN2Oq0VqppqBZctlqiW0j3CQI9be14hyE13FaE4aMXilk
jVxTe1vftaYwaMLyyrt4Tmip0tx+J0Q3IF4sSY4dwAVFDSI+lgioJJW/prgj2Ne8wumo3ViNMudM
kYC9xdWLtyouhjtEaPJOOEV+JrmvPruJ6A8Ylo0def/hya/0Gg7Y3mfEG7f9Rx4BNWCVizwJAslA
zafQqg4qSy57lXcV0ll0mKGNdBB3PDH89FXeENFF3YoJqBMWhvlMdrN/S/Am5Zx++i1sY2Ut20ko
9HfNlD0iBVQXk2W2p6luqbsJm+FIV4w8ZW5CkolMo5MjRjAFel6sTY2U3Ychd8OlXvflHPjgXzWa
Kr9KRznVdjCCEemL5JhiW/m6rlW35oCTnDvyny4k8eOrEGU38VNWeRhIJvmKFM/cp5XPuOLsNai3
uqD02QxvUvTBlUrhVwNEtY0EwXYd6FS2iSVixHMzr1nIV+2NP69jVmCEX7NJ097deYXj2E4UAXFa
hSJr0u7RyuaU55ICOy+M3cciyUphr7p55aznNdStQ9aZNDInFoIQbYg5r7c0T+ffhnkNrk17OORo
QMGlzGok5r538fSPrOhGUV33CCWPE6Fdj0JJnVRVB6xNq0nM+dgY4nmPcObdwkgNej+TeQ+pgiTS
diTr44ppP7Yg3SspnfaoNUfbb1TO7agX4gp7BM0Fw7yvRXUIS+0WRkLPhu7CJPRzUum8T3Z1jBv+
YwfNy8B9VmUs2Cp4pik0o9L1WKYZ5/6yRZVRwP5vfboQohXdAmzpk97wxY5aE65yUms2BvhdvZgw
tn51PqaGcR4gNCaJaR4p3I/hIpEqXuadIyCxmTt0xkffC6slKYXgwn7qumgeu+GYpQbqak8b9j6H
NZTMWbYtGX1WuNTncCMoEwpcQnuFPM1e5kMBeO2lCUQkSPHeaov2Ig4y8zudyPYlxcbuNWShn1FO
HTag9bX3Rn2VeR5SJV76FK1d1IzRNzRV7Q2gO3mAAUjmvg1wApOwrUEa6XZ0JelncUE4QutSahYC
aQ3qk5kOFZyyTYluDh3DOSPeCqKpzC7bDp3bolRO/TzU/b0uy3JW7I4hPjBdbOgwNLYuGvBbJ+CD
x5wa9rVG1/YixNl0G3hug3yoQUNiJbZ2pvDF2oPc2TdZXMgz2VBiSfIZz0eG9w9b+Mx06XW6J6Mw
blfU8OY0TvRECQVGCfTjESxzIZEcrmWvPNQckf48eFP3YhU5Fb4tgm3gdl60jVITPdxSBkSeYoUw
v49OJLboOnmL00FGB0eWnKprVzt4Va92WTwMh5jgHkqSoxqCqZIB8dOa/mAM7nkK2uEWJhJXUaHN
3fN+dEA+1gzcNBdFy2gmj7ElfYRPuqAXsM7a5wBd0mPZtc1ad2zQmCLxkd/5z3qEvIArEihKc3k0
S4+HX6O6b3ZxRF+pkqsQOKL3JH2bKXCBltA+R3wMlOI5kDTyiAKlZRFPb7o5J5ChHyWelwFAI/QO
p5pLL/waFEa/L5rEPvRj010IKyJtznA6WoKTmB92JvIWwoQPkJOg4TKwE6FGa0fqyQMw4juGjucR
G8CWDQy3pOcX+d6phcvbrmYFJgn71+i6RmpGBYO1n+h38RBBSBfZnWGX5r1dGZgvurT8DuYWf4cU
qCkYqSy86QTM9O30mHv6nSVTFNUxgOSeZuILU6qrGBiCoR86qBsGwiRc9gpeq7Ap1nqPMmfZeYXU
j3Vpl3sXWwhZwYk4eIRY7aa2jNdGLcaHSOM51VGpHwelUVoRSv/FrCOCKxH4qiXCBcb6KUcrrIZu
Wg6h/dp1ob/17ErbSGM057KC6FiOJlL1LtcKLF29eUt5WDMsEbC1bz16SLpNksY95VXOaoNTI77B
3QW2PamGD5Ul2caJ7XJLHoJgNC69njeRUucVgnHJ/7WPnlKysha+U9YH9OI4xdyGz96ns/zNRTZt
wEe7fNBxEcWYM2yOI1Q2NOEur50JJUJKyYs/DRycLOru8FLsB1Ijt5Hg96Ptcu4zJsFo7SO0uqAl
aNyI0io2ltE5j2EVGVuzjzAzuRoKzSwdeWvrUQcfzcMYIWvR7OO0eSAr/WJy9Pe8jdp1b/jGU9tr
zpVX+WyP5W2TONgPTNqrrs0A6mCrCPl4ja2J1yB077KWMAetY28HOzIA5Gu1xQhHM1doDVu9k0SI
Dal+1wYDKk8f/G9V1X3NktTT126b5dfS8TOyHolD0uaUtvYWeGK6lWUHqY/zpVsajjhhUSpxAPCZ
z2hlzAuYSn+h+cScYI4wv3aK4KQVxUYuEXSOp92Qu2qdLSNX73by7DcTIFs50FkTTKG8Aq23d3WU
MBZp+UXmwpbrlVzVTeo7eG3jrYy6ilUEobIYGm2ViddRZmm8AcNvqYkY03ypPMdYlb1/alU8XTIQ
HluzvxR6d+8mj8V0PYYB9o3WWFS5Gb/HIrhMkizfuHWpf3WEXz3wfLF5wRtcKbpbjmmYl/cg8ypY
4F7WxFJjnyVJ1+keyHGBK8o868HXE/GdILBq2eqNvadrIT6wE4Qnmfra0g3jGUtPYQu1hqEiDvZt
HUfUsEXOohu68CvSGHlN4dn4KELqhDSqeSjQJrhhihHMOHmCNBSXjZjYT53hvmPJW5Z5YVjLQjfD
XWALgs2jEd2sEU/LCWXnDeJXWl41xN0jqqfNQNjUzp5FPFHIJDum/rgmIW3YMUPqycIuMDUtapJs
ziLNy71ddcMmwDe6Tui4JzCdya83obFqr6t2cFcenU4p8sciQkgT0bCy4RpQrgfZtO7LNr6v+hEj
VDsECKCj7DrIWUThiDV6H+cN15VhhdEl+ZZqY3lI7KbbJn7JQDaHd3dkQRUruLFb2PBmPXVlcYhZ
M2Dgx7SE7S0cGtZTTUlymxPewAR7C29/jeVF0tS14FIKJHUZP9G3NPVQmm7dQZ1jliRF96Wku3MX
JqwQvkW1T9PKkVclwpJoImBo87xeGG4SY+MrWM3U7BoOErEau8Q/mobvX9DjA5YePguAmTiZ5af8
ROgf68xPFmYykKMHQ99mrr0MHUqYUjGNBxC+fMX4cM25fGl6kPvke+Hkk5qfXYSJiVdL9c4KnGCi
fUsgujIjh7O5m6RHmC+HW+DTLFsXxuvU0V8IpZm/hz5cpFRutHcpqFlWmk+0v+W3xSGHT3g1yQ58
wHpFaWmVmP61rfXeRc6gfeasgjYpEhhYRwmyJGRj3cWa3S/bICofMmllFCqmxTGepRnCKWFSle7u
dCtKt3ZfVwRJEhnUoGcoh3yJ/95JF3iR6UVxYmPLG2Z9azmunQkDChd579TrKAP7CD04Uj0gzTNO
joUpDkOzG13uJza6h4ZKgrgK3Wv0ud42Vg4KeD2191WSpif8Mi6sqCb2vorPAYat7neMz98dhSHo
iACH0YEym5m8H5g6Feem72Na32oQIrSDxfKlDnrE2ZXIsap5GNeJJh+C20DmaIyI6FT4LZBHf01V
Mj5LZyrrdWqLcD1G8WQsghmvBNMhFb7z9A7RfzjZGkqzGeHUJYqbBam+/O1CuodIFDbeMU6I2h80
0H83av+fhMcLy4Ou+6/x+MNTlnX/+J9PWfm//3F8asIsqn+C5P/4+T8hefmFoBCL9CQOvrYA9f4X
JG99IWkB5bujS/4lZ2f7PyF58YUGGUEvNPC7R7YUaP0/IXnzi0m2HdYGg2gmKcHQ/w1I3pY/2+sx
WMwhsbrzEVj+w9OYm11gdIDI2wwBNG5YELhFqNvTAsygv6SHCHWY5/sVvlRNhdOia6gm0rWqOo64
s/dFEFQbdFfiUuZDuEL95azSEMdRSt8q7RA++FSpBUax6QSeTgZFPHO+1RB93o77jBKfRdqE43ci
3JqtwyF13VR6uCNiu7oyOjP5HuAURT1bhNtsnpdUlyZHL/DIupoUQ8g8V2V5SCD3PGvBOkRP7jx/
OZHpRMTAzmNZM09o7jyrUdWQbfqxTxfFxyin5qmu+Bjw6Hx1T1MXIHcN5wkw+BgGQSXNWypdiut2
rJA5VFUfIWNwzVNpEpnnu4W/HRkvoaEnLFtYB9BxIMArZqkNTXnIEIt5Ok1FgidqnliruC9XQ5NP
D1rS46idWmtnzDNu4oTjbZeQG39sAuprlt4fU3GX6Rl+wEwgJLYRD5tph99K+UcRO+WzneDubpuS
wKRAI6XwYwafp/EizpPv4Bzl9yDyup0+T+0ORwJnqYswP0TzdD+BSLRkVUT1S2d1/sHqqIDYMgYn
+gK4UOyV1qOTMvEO32pa5gwXKI8hSyZax98BZKddSqjkPLNo1OciC3zSyigRrNBkGWsZXdXR3NGG
9Jz/S1SGJaVhFkW6Degs0i1KyMJJGqsplRgN5r9pSZP+vCDqzGtg6Oy9UnwLK7O2yjuStNjGXK8q
g2+Ag6hbMiRSIFEo1sBFdBI2FnbiUiyAQmDvZVV4FiajpVFSnMrXXSiT21bj96u6cDz7AfH7Dfgh
bpKKg3bNJT4RvNABMmotvXJjhSnN0dqBeUphRZkcyjM55ePGwZexIdTMfx9LyTU1mSdSZufQA1bn
UQnXPgr1a0c2/hPrMelDwieAR+AJAdeLBPp4WrcYxCsjP/kRueq6U9RfcT6mwBNeaUQbbH1UmplT
dB3ZKT7HqgyXlHGXUEARuhtRGJycU4zVbFVq4lThuSl+6Bix0yvY0fg0cX79ZvFrxarQDOtdBxfg
lQ4Etoh+yhqFsd5FB2NFDTJ1ZOhtDx6eu9YqZWKhmDE1UQIPvbChRrLe35ia49pnTL9ltGJjDvL1
GA/omaqwC1HeMjbeYK5L1MIqtYyzOt4w6uyMymW/Hjr9Tc2lm1obIRhqsymoGeJIuF9oui8OBpH8
9OekHq6FYXgxdfBCLMLixUbet9OhV66HQICPd6RIT0Zln7kpoCqGWw53gxYHT+ym0Z5IsGRfjj7p
ZIBS2YKwUu/KQZQOJ9VkfNYJNds8/vA9DX7aEnOJQGeFcTfqF6P0unKtwGJnvSQQtVl2K7Mvvbfa
BJlaDa3W3jFLh89oCNVz4Mf9Rlb+eIkBU52jvNEO7Siyc+wJ0c4GEsR7KMrsR60eSaZuHSujG3nS
i1PKl7RSWRE88j/JdnGoow+PDfKRbQ+TymybpDTqNOFBWLpdLdZR76andrTEI70ZDolrM46CIhxu
rPUBdkuHtQf9btKjbTSiEe2BEPvMtYoD2qUyXblMDNGqdUz/FMfOsBtl5K5DNNbkVJWufxLYFKCo
NL1igKudplxzd/Qn+CaM71aXrfWm8a6LKaXYOGdKHQZE9babb7D6jOTiCjI/pOi9Y1ZiXA1sO3op
zNA+dAyknOo7HQkaqHwfW9FaoHYEei+SnRlpYpWKUK1FVakVr3q9Rj5PifeYOCt6ZLWDDAb7IQ2a
lBNyaNdbASW3RHUZXRLrM11kJDRfeY1Wg9X5PVGCNcpv1vlzFfQk/9aFOyz7LsHbrEL7jGcnuTUa
LXwzaCmHUIqwf5OA6h2J14x3uof0pMuJXsjtQDuA24idrcy84CgIF7sqVRZfBCJTydqw1PQcaF6z
i6kjvs6YXfcoGL+SrOURDEMYXrogqcZ8YN/2jkWNIXshxCi/0kWEmqkJiOarPD07uG0z5lcw2wPw
ShG+x6SWX3Pu8m+J5E4wwOjgNIFqOGM3tX1pBGb9pLJMfuf4Ua9IOnaXHgEGO9tuJ0pisWxvcpKP
OSvhwviaDZaDb3SSSNwmdeprzb6UVegAHseGfwhIBaWHIFB7DxvuBt87TataHwQLYbTtxtHi9Fpg
5CD2wodYnsqwfgP+ivA3URr8pOFQgPFMJt1c6EkhsLENwymMSC8IRlp2RxLKTpOb9Q9mE8QbWJ4O
BWuGQcTLinmNd6mQinw/WZJcn0PeWuXl5EoH/bVXmW8WyutLCI9hnTQjQL/uYpKvOrd58ScslsaU
m5teVdphcqfuLQOz3BRG09/UmGExcNj0/xHT7B7Q8CVPZgTnyVnKDK6CJNRB2ykP21RCWMuglhah
K2iuFjgFuqOjDANbGTyhR2b7trTiaDvaBSvdXDi2j4wAqq3yhzMFzHKLpT4+NNKtuJtt9c1Xeb1E
EW+SUjn6u2QommslauhT6jpum9ib3cEKJCsjSAIVc3R0NXkJoZ/vm17D9oY7iFc7ls7JY199/phN
/7sH9P+kWMNZwMK0/F9P6KcnqmqeXtXbW/nTZP7Hz/05mdtfDHN+Fcl5IjMMkvJfk7mJjIYEZQK2
BOGC7sxq/jmZG8YX8q4QvlkOm8usn/rXZO5+IfTOIA6RiZ1uCeizf2cy/8Qak2foASbNpVhSokc3
5hPJj8dFXB30omC+WEmF+zmjOVuxH9A19ojukU3GoYNFqpxy5G7ru8FMo+p3yAL0U9H095aKH7qy
vpT1NItcqHFoq/aMdBl0QBrRqujwoFQlPulapPety1KFwfxeIbb2cLWjHGPq6WSJqAAluYp/08H0
s3D048O5BNojQcP+xlnm04fDBBq200hExpDFK0N0m8R/z+vyrMvfqRQ//yZ7lrrN+bUG/9gcw36+
jYFWG04PsbvCpIsXKMfFqBFrgYG6DFY/PGJ/w3Zbf9EC2vMqC3QkLcG/zE9aXPZXlWksTqtc9i+O
XzloFPLvuLvhHAmB8CkoX6aS1gCAx3Ll9F2zJHizX8B/hwjHVbsDjdrakfPA37rN8+xCEySt42G4
DzR1LKRDiu3KFqVEOlQ810M2LkuLw9mQV6fRDljrEDLhztCZALqG2r4Qx3+fDGsMLorm6fFJ9tND
VUWPVuUwKSW6+AMNQFr39xovY/7mftJDcpD1hC5MKQXZIeYnwt8XGIJHCzNP4RKSCyxn0Hu2LMMW
OwdIfHFfZpJNpEdpAZod+VgL+uw1ZXv+9Zfx8Yt+vhDHQH1gIXYkLNL9yNH74YCLNXYIsgC0BBcj
h9iqYkDSnHs3aNhCjfQl7YjxiJkw0vRYd9NtIcavvR87WybZdJFRb2V19c1Mfwyi2jKBPU1x8JiN
RMen4vo3FzsLpX+8WEdK9k0XLo6oO9ISPz2lOTUoWtIO4VrXsaoIEDZHV7d2r99UmrzgpHaLs3kf
e3I3EZEVVfqdFuLo7GyEZhy/6wllgoF7AGBsOeGcDiXyoLK2F7++zr98u1ynJ1wTvJZXCZ3h/Ab8
cFNFUDkyihyKGKL0piTTbMNcomC3hyusm0fU+kjRYhS9tmypvK2nx76abgggWXdN8JuL+RRyb3+6
ls/ic0hLI02d1F/5OTFfZCYknrHQAU2B4LaEUv3m132sSZ++I8I5eZpwMCMr/ixlcSw/cSe0USur
hbtCRwW+1tarLlM8FfYNViJ6UHDSUWekhcsqc6KzDMe9rYePzgiOHJOttg5UhpfIy+996rSDxttk
cXOLvzI5ojxCvk5jJSqA6KuX6d2qJctWs6YT86K9i7EpLkojrwiCMBcjpxNcl92RSFHGxFwQG2BX
p7Qi8sZnzMFO2zQ70gnHdSE4LguMWQuTOtc11ZjnXz8VPy+xwEc8FHgAyBI1yBVFCfnzQzESDNMU
LV8EQMd6soNNXF6SmIqH9zdx+R8pqD9/BWBlQGLMkPwiS3zaNsSEBjT3eaet2MHFmLyRcgi/gAty
Saxpt/Ka8Hs8qBvKBPd0ol9bo/ngE37C8O0/1kRQ5aLByjMtcn32pwDxtDVJPOn21zfkc/8Cd+Tn
65yh4B9eE933nMAscdnjtT6NhtrAp1FrFGf3Phv0woHyWUFtRVBRIY7cIb+o6XOFFKzugwlXVaEm
7VLajbYehsraMYz2FzhayFAyVbIDLva3QSVtAvSI+uiUXSzLqr0kv6xf2GWHDaftB8JVSpSsHr9Y
6j1AyzSmCCttc6EpfCv4YkgYNNuOc0/xfWjjJz+c1bOlGh9H0d3h35MrtPz9ewZMwME5wPbXVcEx
l8W0ScJ/s9d3vmVQejZTD9s02Oe8Qv5wy5LWY9ywcm8VCB8RYMIiSG+fhfmiNDe//no+NPmfHqN5
5sDqaiKGxrzw8+8aYr3qGqvwVr05WYeum76jZLSOZT0Gd2i27EVaVQuZjxdN8B44kBAFXqEFiZP1
QrVFvcLIJPlSRH02vPE3F/czHju/TI5lCd5aQN85pffTI57GvZEJRIurOCO5Jtg4QjtO1bff3IHP
k8os9Sbk10QCaziG6Xy6A7WZBB0h9AFQDT7lYQYHyMte+YT606hYrFAXXKugLJ/SSnyL1fhVEGoB
VAZfaGNYr6Y5pLiO8rXTDGdAoPCUUs6FL9uxfzNQ/N2VSgKcSRi3qXnyPi0uLafilIBAf+XKglUl
AseNM2w5KAQDIKKFDJ0Nlsiji/Dm1zdp5mN+ekqQFZtgt5IWEADyz4sNgp52KgifXEGp3fnKYYnh
lEejgJWb1/1IUkhW/eZXGn/3O4k5MqVN8RIL3KfvxcsoNqMeDM1t5W8zU0OlHZXDobQda0UQ3KnI
upcw6b9Vof0UR/LJnMxw6WvPbR0Fy1Arikt3yN9jkFCjcJZRfPvrW2L/ZU5xTYZpAjpYhPHWfFz/
D2/poFUGpHBLNwfpSYARW1/4Gz/mdZlUKOGsJqTyPERqMKG/w0M3yceGoJBNK/2HGmnTAs75mvTA
9zgM6dIihKcvqC9OojNi9m0JfYyfHfa6LF4k++3a6YINbR7evuCPp9JWhzixKmLCmtU4dNUmEc3b
mOm33Wg/GE2wAljZ9DVuvwDhfD/HF/76DjifxbxYJCTHFochl3eHtOmf1448QnPgGqFDO4lza2bi
K7DEjmhbDUXvkCJmaut1I8ILLIxkFOKlTwtBQNGYNus2aK7bWl3bNYVDeHndZZTYy8Gs2eAdTFCZ
fu8gUFplHjitYdWnoGnbhTeyeFd069aK5FDksycCOdQKCOUJ5Vq+oJTspre8B8OMLozAIkwQsVbM
bhCTIqR0xF9TN73imC2Jr60u6y5a9VwoyddXaTqchjg+JSngPUqNp76lC9eyAuJ31LZt5UWhJduK
M8h68BIHryPRA3YOfj9QeFZouoGNzoDUzobVaCTDJvx/7J3HktxImq1f5drsUeYQDrG4iwuETq2T
uYElmSTg0MIhn/5+UeyZYrGUtdlsxmw23dbFLmZEBsLFf875DsRge6b/nD9Ckm6+TF1yUxev3hps
lf76Dx/Fz99Pn+Qcl3SPq91ZYPtpZRhc8HceGK2NbYHHPUjvMNaHFtdZ/a+j33/3BOV/ksTJ/ITz
9F8PUK7eP9Ll/f/8WeDo+7/6fYbiW78wIuHaCzJbSIFY9l8zFOcXoPnn47LPfcE834X/NUKx3F+Y
55kA7/HE42U5X8n/JW7SDMGOZLH3sQv+Onr5d0YozF5+viNgOXeJ+eFu5GZO1dL56PrDeqVM3CqE
zvvdOeIAwq9L0j0RhfTGMDKmJVKbLz4AFKwh6DyXyl4m84QlXx/9SeH7cix107X4s7jhLM4HW2Tw
uFY6wNtRJ5Z7iTV/SJ/ho8YLEmrtP3OBtEKrsazNbNgi7AUgUMeen+gCkpFOh/GmqcTzmiGEhU01
PSrZlI/JWlXEhz37poPPfbAQYk4upWzHLimH2xKcKfhqT+Jd7wtdNlGbGmukrQVwG35mEUGUWS8Y
IU0i6gZ/uQuGeFxCtoeiPllde0+itlzvxwA99Oima/nQMFUdKW/pxgfg3WVwWp3JXCCGUOAH1M6i
fdNKirENbRKeH4A6B2hC0CYJVwNo0ZfDXAXBaYwtz9tCDrC6O6KPzQf8U+LT1K3nI+H1JPio13X+
vJoYjQ8WRE5iCZ6dR0k2UeengqArNgZUj/KGpodqOq2GHL/p2NPs82nZvhXWQKmPa51z67F/BxYX
a3yWQeECnAZuIm0EhRa++xkhxxmPtgtFIWzjrk3CInWBcqRzw/Rs7MD8Z4lDE6/pAIwIFvHo9LX6
NBRO8jG0Rkc+vPeuua8t3rYHa0wECmJ+JMtmuuDwRM8RmwnwbdmVe34rjhlpCS2s6FuQz61qWHtG
VN/E1MmlXRhl/rbycNxnGWXRoRaVOBn4bFAhC4xFawIeoIkXQmjCTlTUDAiYmO7TzWBDp5NODoqV
5dc7GYTpLykZ/TKUPC2MeHLs+mXNOF0l2QMJhwTH0prTe8z7HvzYjTI6RlOEmLl+F7Qghr0a7G9J
UfovBIF4yE2BoektbTwXVbYYI2+YP9ts6GGQjMYhm2WyQUxQe5GtOt3oMlAXri7vz8NwmsS79BI1
Q96dBxifuq5QVwnkVihxy5ruW+35XzrQ2lCAhFG8jt08oIlbEr+/q5I54eBIH1A4iCoFhEQYzo9E
WmTNqa/A4Hk+yY1wQfO5nGL4OVlV3WPpFFtVmw7Tl0xbYWMHj4XjjJ86x8MT1Iw878xEZRqNY0/5
J5q8bx9AEa/vEEaG9GUQdarA0KaYh6rUJaI842WYjgK/AQGKYSWWV5dCVUcT5kPClXlMX2E9zpwv
zETXcJu9cb5sF84fkKPOTi3hW3a6wxwBaz81JvOmx73mhY3buZ/s1cOQHfqJZ8T7uBycl3MvjHEt
HfA9OyVVOuzQgoFbOQQYl4jprS130zIv1LPOfNAh+T+Z8123kmq+dgBvDVc48zGmm0BmygeS9k51
n/pTjm7pMS980Txdfii8gr03TgDqRmoixhhVSwClpkHmPOhU6UeRFfJISDppH3KAHf5WGTrIvk6A
Oy5HTMl8sRkqViRszOK544VakVNn+ddi0kG3teO4a8ImbxEwE+kV5E7EWlFw4Bsk7qvBRISDhfyt
C7I2wts1JVsMGHl/5MnEGNFgyQhhbDp3tHVW11Ul5YdrzJV1YFobUKfryO4zQfcO9DhYrE2cynkM
FX/EIjFbTxUemCewIISmRA75C6UauLtoWk68Pm43T6pWRasZSDLxktxiiM0v1SELpNeTpx/aOuIt
lhuTXl+DP8Shwp07ZyqbVd30aUT/vhpzWb3UwDLKcJLTcj1MVg7zz6asuuNgt2Udoq4L2PEEplRP
V8DFglt09kJFfpYGu8xw5zs5E6ZyUq4HaOopyq6WyGI5ndvHuIW3HqKTmkfgmepCU71I9q1rH0mN
2C+ldqed2dlLuFaBewQrnEA4Yosst7MhsMMn3MFtA/znNlFGssJAW4e9WIbgsqm1QYF0D2EKmzZG
EadqbgxdD+8CZe5NcZ997lMTxA++vh1Zl/ie3VL5+9b0+sfazObPrVbOhxWY0+PUldNulNVDwLKE
jbz1gn6bjvVDNjiUfvVr2pyApbPy+qaXHIhW2JuyH1H3cASqSDp6tCOi4Srd+cW5kKAv3E90qPGx
Dn3VX+Tu4n+j1nQIK8VlkkEJhHqtyzfPK41kU0thTQeBjL+FnelvCiyGh7Ica/I32XQtCTeCIq+1
me0WkzesRWJ+bWiAu4RobaeRVZEouFxKe6VLrVvrp7aYgAjGc8neVY2Nc2ycYSSQDxkQ9KIPsG8R
Wr1Jw3DuxmGxqWPPg5uqw8aD98b/wtbcXZKz6T9lo8RbMKGBn9Bok4vSJOwQtijj99Keu/tSkdIN
NQ6YG16LfsNqL55z0Ii48wg63ltnwIzCl6M3sQtnxcu+gnounrD1ZdspLpW+5tOrPomVprdZakJC
nZaAMx281ACFRtT+25Q81jUnFzqIgqp8XcyiQ1E2VHqEXYER0hy6bR7UI983b7Y3plDunWgoZQnL
IVjuzMFYmwfSQ8bJcuruzTIrHrDEGYBixHVb+hsMoOOEf7bXn912dN56vxnvZuID9hH3UP5aTwnU
qsXRYEZF5lSfKfbQX2K7gExGP0dnnHoq3zN+q1mQcXEbvYfAWXqAkrLwTg1BtjSMJfNRnOJnYCh/
G4uZMDxvhBitSEJYLX+Yx1reORk+WznRIR7y4Zo4PvpKE2gC8gM/T5YYsRMuno2ckWrXSX+D6M5d
Mh/53zSID9/kpMcjQZrmcnI77yQN1dzldQ2ur/eWNoWpP2ZPBT7/fdqW/YVKY7EXbkxUoiNKEFIq
XrxkzJjTKHChVJDVqsc+8miFIcSZ8odnZ3hAQUzZZ7tmsdf3NqgyZ9vO9vKuFiP+ovvZgxjaj2Rb
Et+BaGbR5ZDfmmRVL/jgyStY/OsA30rip2Hp9dUNPdbrPQfTdDMrcuAEV3wgZpSSrDysmN/3VpDV
b0E+lHzfaKvYzQblheRISClrHEOfqlq7SaSWrnrP4f5eOFAY3228ftuR8oWOA54RXyR1a0rGyTI/
erykLfr4ukQZ8b4X7SftFxwrMH7tGoOfSiW322Co3fu0XubLjsaBxzognBd2XS2vax8iKTqh6o8V
4Xh7azlJfcuqv2y6zqNhhsMOsDeGNMlTbBbndYfCD6e3AgzVZQAOvAPwnG8WrGsl18elffNVxlbj
G8F605WtdDYNTvZ3rWu59dKsrxHb8/zGhibphN5UmnmULgiBeInwqunOHMhxkjB5SlYdPOLzyv2I
m8B6rZZUwGGdq3HDzMt5FeS/04d8HoLb1gFKiAnR9j80Z0tg71CDYnpJZwcGzSJPaUF7AAgaKnLt
2jYoCfFSKJsJv7ODUETGpdYkoKXZeXd4hQygqdVkPSC20l3oJsNzumr1wETavwVJwLktlW1/V1ha
jjsRYPfnSGLAo0Owc5ewo8PuYXQDdZONgOlCQrTLjaTk/Av8Xfu+bVioD1Clsfrip3G3cpTGByte
tmN/dnfW4mdfwbA1G45C8imYg9rckfh17wUQA6IKmaeiIAVxxESdIQkT4eCUurX3KcfkcVuKzvhc
k2h7EEvawWXtdXlBfY/3DRCeai7JntbwAXtZfmDx0c/rNC8HkFTjhdfIHKeYlwpGHN6YVTsKzJdl
o2DapIe2Ld0D/UPGk5sAp94WpOf3QoMdL/GuUxChBM0LxFm2MG860HFWUZxodZnSyCnG5WX1QXXW
acas3Fu81ttgzQU7aNbNJSNjajIohOm2U5WoiznpxdEsh9dZaJJGSa02K2WZvBCLOopanC9TLsnN
1PaPiqgxe1fi3KnJ01tJPghz4zKBpGPxCm0jfQas5IdOZ2Hp0vUYWn3wrQbm2bt2d5xpc9i2UCt3
Dqrc3icgSrvaEn+Njaa/caya9W8hIBV2M7dDEtH7uiSgOnFEcDYWmJzrJKjr27mS6bHNGujDi1Ed
zJ54SZt4w5eJhqI7z1jQL+KRoxEM+frRYe/buf7UHwBHJ28cZ/qoDtJ7VbE09wMvdFm9mB2cYJg3
1jHRXpLLTUBbxZwAlh+shJ2a8P1mUtMXbg+akSFpgJCdOAd8OemPvK3EtM2mwj+T2/23rLXgcFGg
pk8TDwi1nAtFFS3ZAqemXiIgOv2++u3H2hicrch5nrdTbmNNCvnbXbrutAC2xzyTMNNLU261Cu3o
CjJstcVJbEdtZRBJSEZrp2jbuQPRt/hRO8+YTNtcXwqcpMfFaFqY7bITIEolejqU20u7jh957O9c
J7kY5wHS5IRZ0MOC6ctixR6Xn3tTpiDk4wSkmCcIa+2apVepoWEQZctQPNf2nL6IxA3IjZUuhd5V
++QKPb+rBpy0u1qWwlWvs6sFIN/BtSbnWMdIuXsx91jrweesn1DJbmBadTc58OV93OvDwByPE+CA
b1MU9oDRr6MOK5fyFXvT+LlZ+6syLdqLvsioJjAFoEAsuslnK4gFFrB5xgs41ztS+v4VB731gk67
/pr4+/BQpvxs228lXU/WsGuLhIwheQA8gGtpXeMWmB61x9l86XOSbAMT+k9t7MuTNq1xW5UwH3AX
9p/9SlGTEXjzhQzi6SFOJEQ3X4sdKUh2NyzoO9sw3Re/aoM8JI+bjJuxG1ex5TRyywzRa7cl3a1g
vgaz3LZGKwlt5UNF7tjyiO1OZptGxJtJ4WrDbt40JFsgf7DYviHfao+UKbWKkWlVFTcTzURbs5t8
dJZBwDsvShBsq6re5qRjPDHYVhFj0AWZfVtmjXiO1Vhz/M5pzsxs682C+3RjZYX50WdGbdJJXZRZ
2PA5HAduNzuXeDwK3Dqr57ydJzoIfKgfANr7iib3pPWB4rm6AZ3Vrq9j2kgCktRvzGTiuS/MdnVr
MmF1ad4qxvdEGuZ2zFcPEXKcXTpxHBLBka608WD2C57XaXQi9pfmIS08/W6RyQ6N3iwPllRvXVan
F3bf64rGDCyuYmLOwr2uAAEc1/Kx9RZ9wDFuW1fJvJiMVqsu67ZWb61AgEUJytjGBkuGeior/zlr
lSX2DbumDTavOB8Zk8tpanZq6siIobBBhcWIv1KaPAbiWyPm4donCPYi5tLzaGqzKX3PtZe9qkp1
JyY4FbnTrLUVI625OBleZlMFEev1odLmSLB+JiBICfKcz5uVDrutmowpWphK7LXtfcKMDQEbndLE
CMpInRVJCXgFplyvuHR2b0HFjkWoV0mazQivcTUzHnGm+peGu/YRR0jsDUM9vvGVU901S75LwdRQ
ZjdmbDtfimzwX5jMEF9gP+Ik3VAkAH/7WgYNNKEuAViggsS+BKlj7swgLT4yOLPxoSUsjrWQngSS
Vas9M9sJyk5y4mNggJPZAlXgNhPIhE7BFEBx6M/XwiFhHlG0PXb0mSKMDes6tVgNRmAZ2X2NgZ8E
hCxDBXWS43CWLmdKc4nRv+cmRnG9t/jgRr1RbLpcai9yumZ4teP2fFRGJWHP6YviMWccKKOYieVN
xfWFf1oSVIvSkgczZJ/O3VMrS+edjnVSdUOazFE+gR4zDbaoBb2wgd5dzqcpaNzPOXn1F7c0/deV
VNGMQzk1bmu/sJeoJ6vUR5PdL9gWQB7vVDF0R07ixW5cm7yI4mXoud4BmcHAk2ns4TL1kzenXZp9
5Q7udRFXhNCsChvmTnuDBxfHl19c5h8GSjWeBtcpcpDFnHlesx4v6950h/Yia137tkRkORSlrkOe
YLu4rwyy+yREWoqnOu4ehNgSONBm51aXZoYFNuzbki9JSeS82Y5lDdwjtkqMq2iycdlgjoGYvR1K
M9vno4evMy7i+dPocsHinfj987B4Q0eEbw541567EtXMNYqUFywM0OjAi9+HIjUffc9Px62jfZdz
Aq33F24/DmVI8jt7t/phZW6hZsPcLYkpDNIIju5OgYeInFUDly4eTxfvQzJ7Ev6imJNXJKN+X1aW
e2Ig4qkddvtqz7S2+Kja0rqqSAVkeLGIYoRl73XujaLh4bkNCFi3kxghpC7U40H88Gs3ymGGYlpy
BhqWYB1W2M9pQwM46rdjOIxJ8Ehaidv8bLH8LK6ZfY6XSTMHsazWumSdAG2YCLPhAc1laR79ue2q
feIHo30xleOwIuvN3pdODt1T4VoplzGwi2WYW4z0QqW9JUpSl9kjdwHA3zm98MReSIsm7zOR0wvk
LGalKsj8a7xT+J491k8W7IyW5rBk/V83OU5rsZEV5mWQjyYDG7AMrcBTNDbXyN4zzYJLPn9yKZXb
rF47fOKb1FmXncCZmzRJP1w2VM9Izsse8o9h98kHLW5ZuqOVBXEYtphBCTrEd1Stai7Kp8weMUsE
9YpnedCtG01skxBx3WCi2gTrvWH1xOXGRiyXS0Va83yLNJKo6eY22VLzVWRbixDEnUUmvtn7nIw6
rkxBv2lxMg6EXZ34apoJUUWdpnyEFmoAtlNeMv7KRYAVilXVpnSxnHckBMRwuUwSJ88ZC7BGxdIw
R6OqhGFS77msA2sa+Nf9CuYhLNjZuIK5iHlxdi7Y8e0CuGvtJxB1xZQwLFpqXnBizH181eNkj3dF
aX4bc8O/75BwmTxmrhs6Rq3njSADnvM1phQAY3PTVdueZZP+Gt0adwlXDf/ZUrj3EzA3XGCIFbG5
mCPM/D521Df6bpY3shqkEzJlqXumuA5BgEq2FIZ46j4v/OWAggov9Rw5em7U0Fysy5g8Z2XKSRr2
d3ZbtMVrY9jxtlaelx/BlzFxP3Mzklbj3x9mCugQdIyPWjXLY0ZWydgQzULr91h2l4uCrZCiUGoz
oX8CHwWeeZ5l52PwhcNc91lkfvm0irmj1qqhd5TLWnoiDBP4sMzO74j0hB3armuxqBbOV9NoMejE
i03rYdJeMNJxMLVTRNCLxRo2Rlnb2OC9aT3gxk3udTs198Tz+QZkxC5AJSfWQ9f2rNnAd/VjTgB0
vkjbodmtzFeS3Tp5YxqVRs8kymx6JNSYVgt18Hl8M75Go31meaYTfY5mkS+7dTXH9bI5u48P/UzW
8MQ006c+irT0Edb5Q9o64HNnc3mH+L21DQeEmcBp6bdrMX1BkAE8jZf+lTPZLNnbstR9gNPB0KLO
fcz3nZs8diQMHzmLJmskwDQbkUCKogc2b9sXzE31NzodOIvaHXOAyO9F+dXqMz+PfDsrsLfODPvb
QbXRas0Y7koWek6UnVt+d1L9dyuvf+ld/5+KhLQFmeu/02cfFMCq8kdv+7/+lX/psv4vgeUDgcS6
8isFFfn1OwjS99FlBRcRE+OPfzb+/Kcs62OH5x8ENBaZUpLA/E2W9ZBliSzj1XYElinb/7dk2d9b
ejCQOjavCi8PNlKcfPInC0Vsp4IyTIt9dEwJcnQTmmBNPRCxyZM3T5xEMYpsnDMbBCrJ/KSmnBY7
s+LOJtClzIDgW2mN/pcs7c0NxHPvntvMfKyNBpygN6f/4Pn4vSnnj6/3J0sWuTpXK38xDwFVtQfA
2XTpUOOIQyzeiAZSkEWq5wrHZvz96f9LMzUmht95HP74o38yEjauUzZdYy8HWixUuGLTgyhBeSZq
WU0DtVFv1qAwwsEE9AcO/WY+b9JuG5QbpJUkyhrZHZa1opfGAKbJquCFHuo3+NDhaDX89lx7Pvf0
JIDj0S7ofgHa11Xi0JNBbMipIvM95ZngAMAO0WArLfzxFdTTAuahndrbOi2hc+lywIMiEvqFPBac
YlbborHKE4U09ZUcAnXVEdv9lA6T3phGU18qs7C2S7nS9NhoCnW+UFArjkWV7A1NZyU5rXGTTKZ4
cqZ6PnqMI/aFXfhM8hO1y5iJZB0l2mFQW8Nro6TYp5WR7VaQzUAbW6BnqayZnWdP0o1vhmW6Y67S
HftpMxXGq9NXwYXmwn1asuClXy1jz43homOEuFlS17rM1uSqLFErmwTflU9PViiHM9CaXXP0vXdd
MjYZ2cHxBGYnRHIjtMblZqb2YdczqdgO2JAjA7zVqRlnpLkhZoknvlbHK7tMJw5dUqNlzicYLjEU
+mbD0SO0OHHUWXtyzRh+JrWhuyx35k2TlDA2V2vc15nvbK2pASU00z2OWaze8sZShF4sC7JzxduU
0HfgJhNcLuJcCwW76o4+LfvEt4ZJ4XARLwFTAt8ad006P86jwXy/pKttpgQDHXPYYS5qKLAwEKbm
aQuyMCC8wGdCyUp6EwzMd0faoC+D1NlSz2KimLvx0a9csadMJD46uBci3yIN29bER3AhyIiI5dl0
ZK+PxtwS+Uq2BpU30ZiWx9XuyJ4yTOfiz9PMdmfsiJzUCNoBodIc8vWUpDRgKM1Ufyw/o/0+6lzD
CrHkvm19Asv+oxDBpnepPiFKy8hzQtdx85H5KM2ceWt7UeURAQUDyIR4ALpBUxgELIlu73tnxOze
lc9V1ecRCpzPYJbwJMV2GWAfNIq4yDao73gLPD/boyjdm5UQFwY6e0i/zbQB1kU0u9HexVI3+QNa
hbEBgbmfJ+eBhNy8ob2WiwKz5zAfsmuXQlHkDyigiHQ60sg5GwZje2Mi6Qj7aeu4pAEtbqWyDC4S
JvQoM/fK55DXLvOjntWFbKCs6fR6bM0GYiozPG/czv3zWrQ3XsukwBPDPegI/8lqc7XDg7OtxPCe
K6iobtJdoW9tlrJ6JEO5teZg16blF9JoW71iAi08c4xaC3A3sMjrYHGxzKwIslnLeDTAy2DezF5y
yig6vSrd1rAA/CzeLompxgtrqks/n0Vufu+VeJi5XPbwF++NnnEl/SS/YsLnL6OVzKGoODCEHCCC
97TAYSB4W0eycEwCC1QjMv+c02JKLHcAc5j0pQM+5NauDl2DZm/lFh4aYgWbrszlnR9bMTxY4qFn
d++hMJL0nGun4c4RT6VS9MoE7XSxMGR57ChD2q0kTSkTN8R+Ss3+QJRAUS9deeIS7UwcKZDt7ltk
/NtpgBeqakRs0CD8H5naROOK2qiLTlwSBr5pluXUWfaylW7+uFSZPiFgsT/kDpfONd12jYfngfsi
FFiQMxizu2sLJC9jthifBZdkZKApg/ZC2BHfvjomHhJfZnQCZqBSW0+MMYtdL6kaMk5evLLeZQ71
2z5kd7o5Nxb32UM34Ww3zPqbl1QHZE29ly7eOIPO3EMfqE+2QcWeo+I72GwVtJDY2M09l6185L47
GZl5LJusul67f4q3cKj4wUn76y4GRc+SpmebsBW9n7zdpuGkppH35gGB7q5WaAAlnOIBYenihzPQ
7Xdz7o+EafP3/tQ//qSfjhZEaKqUKjf7MFIncXDi4Ku5IqwUAimxyt3ProVfYoZPHQbnlbcBzPpP
ITDrT94stGzMuybpwsA7nyZ+sJz5dQXppV/NA6sVJaXCsYyIMBYXqTNHEfCnsaGNMX9g9KAPlGe1
1/F5JaF5VlyILG4vgkl3Yd3Xry4G27uc2lJKhLqz35n0/7WkO+iQo+xusrFIDjT0VAdrnvstQT8W
QcxGXSv8A5e6b2SCcWLqs1zWlXe8DmPLSOX973/lf/bZ/vh2f3JhwsYGGZBLE/xuH99DeLDh/QNv
YCa0/oMV/Pc5k+8fLncPGOb8BwS+n8x85gTLSOezCdPZ+0aPXksHj/Nm+1O16WTz+vfv6w/5Sz5B
bIq//bSztfCHz9FQQK4pNbQOMCShCUv7xcZVdMym5MNUHUluN9e3QwoU39cWpcAGsx8rbyTqeaKv
ggwsA5/kpudrWLjtvMv6QZ+G+Jw9nodyoxQfYS4nQdtNJjfWAklVZGmFz4YWWm53/G0UY9KaZlzO
50NJez6eOJxT/v59nt/Gby73X3+pnPgpffcIyfF2z4/zD28Tbc0VBvvIwW1RU+hCow7LxvtSBq5x
q0YDlXdoi/wfPso/+6L+7sf+dKa2NEwOUZOJNhzJV6OTH14OWXPqYFwxCTForZ6vY0aGt8X5lONN
Ov+HL+qfvgQWJeysJu13zs88pkKYc9+UCmKtwkbRsyVC2Lvi1k03l5ZGWDQuzkTBedN231j1239I
evzJ44wl6bef/9M3Z5gwZJpVQoF1MbzZvZqvdRXbFM26PNhG8r1c4S/vEuebws+fs+sLrJQCMy7/
/fvPOZ0U7U01WrW0++zSnEB2qB419e+fpj9ZDfh9/vZTfnpPvS3skUofaub1bIYTbzDsKwcmJnnX
f/8nnd+KsHzJbfUPi0ETDNW6upTtxBOjNt98KVwaWmmv//uf86ePyY8/6Kd1gPvHoOOic9hNGu+r
mvRNZnnOPsBxyWR7sB/yRAPxSs7HYyb5XAUa3fxD8O2nlpHzt9QRZ4y47wvc0dzdf//pxemMFUvF
9gF6XUO/UDc+NpZjHpWa7UODwbhuAuqsxsSDAbFwfEtg13otUjC+qnfDU/mW/iFWTE4XFJIk5Yvb
2cWtqaznrGOQ+Pe/M/uPDxsdj4EM6Fg+v2L502NgmEzTy7XjpZFQrBZGq2ZK7TAoERG5xno1B+68
bQZxGPoUTWKiIohLqLFTc87xXVZgdaBYbLqxOnJMjbdZbZLC4U7TG/iUuUR8a5opOYr2jHexnQsi
3i0yCT5Puv3O9bdALZuVkifdxG04Fl/JzpjhMrUlgevRuez7/v7Xt/y/g6rHpfn6f//j/aNUFHL0
5Ii+6B+nTibDJAgFrCZ/nSX4f91Q/XV/yX/9Bd8nV4H3C+MnK2DYxIGRjDGP+vfJVWD+Qg0GOQ/5
h9FV8AuMedI4EtA+9Y4W39H/TBS4v7iSYRqPImdg2/Wsf2d09Sut7YdllNDcGcsgXbJZfBklCfPf
fxFBUDaLOhvkO4UL+zCsfX7j9XLQG8RTveAaGorsQLVvQ1Fu0+EjUnQ6t5gNU+to+A4F4qbVHde0
ku6VKZCGQ/xq/GfPDvCJGCK388Sfl25rlF1yWinj21WIH2LbTfjFr2spS8WmuTSfaH1Pq01tKswW
a2UiDvK97v0tC4hHx2ji7EwNH5Ia0nErlgn5WvkOjoMlJ5fKCJnqOfxrTHMtzKTROgXTXWAOmTrg
4xvXyML/ZB3amZBXV650zxtjNdIdYrXcRZymKcGpSDOhgNB27nCzwpPKW4S30MymRgKLbJlY2YSa
vqVK1GgiaEx64ziGc0/bu1Psg7hMXlsH78Le9+Pli+0a+pZ6zHjTz3QG4qttuFfbnTO+4/maj9KX
JHnp7lWfHMPtD13s+GU01ULAkXc72EqWezRNcN3M6c9BBoCLbmibU/yoXWt5NafEh52+WjHeYFGr
A9PQAdjv2uXII0tWym3Te/aVBXAOMWc1Luyy8Pbt6qj12lblYD5YQH+5xDlLm+w4itnBy6ir9oiZ
sDe3RcDFM1qpzmz3C05zGguozwMe0/a9FDf++feSE520SX1nhcfYok8XVA2NtzWMQXC/Wph4t/1C
IQbr93HQtHFr2MNb/hrnwg4c4Ki5Xy435jxXSVRCWjBv4NUl45k0Dft1ytoNNVPMdwYx32slvoHR
X7ZVTnvB1FtQ+/BcREYTW2HXmhZzqR4oAvrhdUCPO35jBLNldfRO5SaAp0QSvAwTd3I2djB4D2Mw
H5nNmE2EwssgoAAR5WTxA8JAco0F9MUiKcARsrrseD7o+5YfZlmeexTAJCXV3oDWtpd9YEUzZuGt
verqKrHs6uTy2NyXdmMc3XnEjmMDUiKC6+9Lp+SmVjenwW1p8zaciKhoTsONf8UtgcOawwGD6keC
7+hPfKpO+oG5vtgjS5UvSsvqerRzeRjO/eOYrNg7gnQIJSymG6QQb8uUp773yK1cd9XcR04u1+0K
ii8L51TET0kxP2C+4jym8+S4DKQTW/TMU+OmdKUEZEOx2RohXvnPGKnthxZk2C6pEuQoClR3blxw
4a4mvMTUM4RjHETK1MNVW7gr5O9UtNuMrPVjkTa3Y9PtR9BO2IXJtEddluqbGI9UJNdFd5FUNlY+
lFZp7Uc08mQZ79mDobZ4xkNVNV+HQd3mk0lfe2zmMC+0jqqsp+RZ8y3DSjmcYVmAiTGKvTpm0LAY
2Y/OyPO/sInKMv4oTAY9gFJpj13F1y7DVNrVZ1qxN4QmzUcAYpjLdfn8zav0xVAylWsng0++geaK
gXM1aKo89+/QPJHEkmwoYRhIc9rbgXrpL7MUTySVyXRJW/WMBO9R4LPI9dXgde+gI6xb5Lh2b9vZ
dOXDrBWRb0wPuawfXB1np0KWHpUtxbizJnqKfGcGIGzP1V3Xq35LxypOM4JO16vOB4fx1iwPwPrg
9zLjHDZuxm09QsBM4BO3+MxEbC3PKsOAgO9lug4CZGAXD+E2SKX8otvuW9Pa9kYMUJ5mN7Z3KQay
rTYJEjFbLG/punfDRPfWicaW/HNNn8tOyMzgzTMZvj378zbFyFWcJ4GVUBsC6OvS+i8TPKoPqG2T
+odjl/trJPm3Qz67kxQAY2yCeMJyyI6fz2U/XOZqTBEpYLn06Fs9pG0iIqW70apebvqqtJ+mWjus
cfX/Z+7MdmNHzi39Kv0CLJAMkhEEGn2Rc6ZSytQs7RtC2gPneQiST38+qmy0d/kc+5ybRhuGjY0q
lbIymRH/sNa3GPJpgYcbT89QPBW1MTEwRzHVE1+VnKdSW9Y27chaNGz6wVWzfPrEMltcU9rUDDUi
GcCXt6EaM89TVnR0CX3Xl9GBTcgOkTB0hJHpwyRNmPeIa7zBvaniWd3Oc59eIxVxRNUVVGUzEYIR
qN21n4YgTZLVtPe6kL/WQ5FOAvGA4bor6jylAap7+tYP8JVoLac9KPXiZmbtvcuizF6CiMeDO0r/
hGGWLbmN2AnePlQyP+heqMsJgmbGhWDGj3mNAy1fRx0C3dRFM4tMe9WpUq1KZ67WnmY6dFAeNL98
NVh6yMgMtSnyR2UOh8YE+HcmH1VtIY6GKAoG46eSckL7bjvHDGn1vG4c03hIU6/ajmXnXvKpFURp
R+EjRsItQ+90F8fMCqxi7pPVkFjlhSwzsjB7Q13cznNfC6MSmwF5H2PGutqRQtGi25ioa01YOgLT
b+SqYt2634pkuhn87gNbxL6PKiTlLQkWVfI5DM2DjyjoTNCHhdZzbqChJu1DZKb+AjslESvGK9Sb
yNBL7YDmNPv4w6pdm7BXRlK9HE6dUWDX7uO7COY8DkHhXYc4OkgncI9cKyQ3dx6WIQncZ8Xgtj7O
sof9P1XtgJCOxYiPeOmNDFpol3b1OeoIzHfj+Ct39tG48mxeaibWj3HofpelMz6UEd88wej3ru3c
NgShFrVQzmc3mI+qtxw2gYhcih/Z5FRv+BWxkqhU+jRkzuDeVXM12BzKrju++vNogQQBd/gx2V76
jkrImR9hctrIcSsJD8jDEPWOciW6I6pdoLIovE+i5giOrwYsKCHLiM8hStsYV9OgiXDEkAEeDtR/
JBEoIfR5FCjBv4vMJhXa9vNHG5B4tJVhOu9dNmXrrO7dWzaSzW1f9ujdiWAJv7m5Ch9Mp3NuiQij
Iqg193yvw43nsDjzPEM91SkjSicWOPwlhxLXyRhaBw2p8RRrRu58mnRUuGuM9EEXtSb3W1VgFs2G
8IxFM9kla3DtqB847Cps8vhWNiEnVrUamxnOPXqH8C7vQp+300649rGXbKGY1g/I8PNXrhbnJ4r/
/kDphfduErh1BMpb1oMJjsxR9cWhwmXG6adiYiY0eqQXz03S23RKxV3p5MMDKlv/DQmZ9RTnjrGr
URs8zEZKySPMpnjkZaRPwGT5dOuYq2l2MvOEonlAPOEQ+OaqVp6jFGsJy57a3aKJbLd2Y79PVRGf
ImkxMSfYN3nPuli+TYH+NVS9YcIVHIaDZRaI4GOuLu0mRISk0/iN5U6D/QRsAI0kzpeP1oyGR4tE
mrdglCyrbIinRL21uAHxnw3zAQaE+DanaJO4lIx31sDJQ2wF/kfV1uOThc7vnOBGJV60IHZ6qcIZ
OifmAF3WzADkLvFWZNHN3vfec2CcG4iPtgJ27rh1+xSDpFXGoV4joZ++maox7rRZ5ZAw8bv4K0g3
6Y3hJPWt00tN7oU9/DDzZo75zrXqlSVU063ATRriBuwwfjHkn+Gb3WtyjbJqjBcAc9N4SI9M+101
Tf7oapUedcBu0oGPiKyDyK9N6wSFv8YbaIsVjNT2xKHX9htzghKwKYM6n0DYavtbJ6spPYyOjj6n
pGSRhKdquK2wiq5qO1hMrKls8SFTYyMvwyE1jRwvO6E70rNJ9AZ56/WnKMFusCeSdH7pSCmqtlbH
8sUNR+O5AJtw7bxCfZaj1T0OZMNg2OSRpHnCA81DEPIlhGMU85WveUbW4GgXYGrFHERYPv3PmJOk
0HUhjCWgfuG1c/35qTNj4zLhbrUB70QOp/icGb+63sFx0+aw8gmnN9272Y+RSRE4MtySIUIAQyQE
tM92anc88vVPVlAp3j2oFOsyrsO3AnuODwhHhseefuOXHS9QnxwR9pZkbFIx6liOhAYNGJyaJK1f
MIzNGlTTmG8z0ofIQw+U3vqpwgvcGe2YMuafuxvgxP4lUYH/wPtT3OnOour02uY9r7W1VYEoGHdT
vBDDHeP2QUGJpClXHdrGwIjdrYVq/Ng4ht4LtJB6k7iulawhafM8JoTyXdjQxpc+tsNDjXROEXbD
vqQpGH6uwWkBDiJQrLPXUezIEppq579kRYzmwS3lMxrT6ZM+Bhse6j7HIehiIt8gD5DnNjhZrXXc
+eN1avSbbZqPg9HVT2jD2cjjGS8vfWaa5RUgXXQYZtv98GZGU9t+yro7vE7jsXbBrFaj3b71tWh/
jaGp8g0YZvVYolF+nJ0kfJlI0kKUOMjoyFojGtYzes2bEH1IuqMQNm7DktXwrseEcIzCBDZzLAiZ
GDz7NBUCrWYaZ2bC/I6pN3JYpe9QGzQXSd4RvvF6fvDifFwRZ9eSaTSod2mZ4yOJWXLcWCj8jrRK
XrizRpEd4fXmza6rp3wz9zyd6N2nUl5qiwizjcngYz2rYdqbtRYfAxTAIyrH8s6ElLHSvsRqimMe
UwLdEhVY1DYwy/zaGK9Gg1gjzlz9XYqw+xFW5FisemRtzSbuh6Vi5Zz4oJ1F8UkLD9LR9eA7F4bN
AMLVxHiFyfQSalTwK95iop58v0ropeGrsJlBGjisar7YSDlZZG5APNfHZO67J8fNEmvjBABMF7sC
cowQWNQKUmt9qwxn3GdId1nN9+NbVcJDu+RG7vEMYyrFIBybk4ABxnlUd2OXX9lkUAUMdMLxfqyd
ifpClvMSRgTQuorscgummDA/M/PJHqm78PvczOKmVXDIt6oeZ6KzkPwCRGlUc9MmWW2uhGbZfELw
Z4RHReIO0G2nnL5VPmWbifjzeaz9+qebanU0Db94dck7e/GLAWX9YJt6r03DOuIp7/Ye0PbjVESK
SJOi/5VahIaDTnRgs8R5AdC4bhXeCStod93oGnuupHrjpxN9nEkzltuSNj9kmEIEnIRZDcu6XxFd
7z7NvoUazqaJDMldkgDqd1OWiW3R+vPjgN37LmM6syG9sSSCqR3R3YxJ+dB6fvC9nIFwxW5TP2Ym
iaKbsG37XY/zg36xE/HDzFBq145R9ur4xnCHF3p8KitZHGkdW/IUjdK8xFIrjPwVctDMdE8DX/in
qaP0b4xsOrBajtdTDCaoBLtwce3GJQQTZayVOCcrbsVxtILuLewG5yb3rBmfIkkukSv6Yx+yn0LP
XpAzT3CvdB+pyZt7LUdE3WHonKNelIfUi713k0/uMxDYn+mB3B0C2QYevJWeq76Iry0qYsZUzipq
cyJbNW4ILAt2+Es50XMwGtnBcatt3mRiT20Hf4s+cwsJuzl3VfdODF+xr9NW7/0Ie3pU1il0KNDO
+FFefQ6s2yKq9BHk9HdLymCZVqRb0ST4IwWiYdfuT3YUxAf2dNlNoAji7QpAAaE1ZuR96QLaPVpl
sqcaXmTWHsrU6Q4dCO2N0SEc4N+n3cnYEZvS32MB9f9nu7Gli3MYnJsOxgjHsizvL7sxg+O30Bwk
R4KcbMrOpUpTWP3uKl04eu3yCOF/A7GC/EFUu3Tq5VGTLTn+uxfy17xmXon0LMddZqv8H2T43/vJ
pg/qMUcOcZyQHCcDruDIB4J9Xw2O316UKizvmpqpxK495/phmEr6P7K4Oms7DXy/I2d4AQXlMieb
gA8CO/SZnwnMu/WH587S2Tit4b7WnZ1dfT/gnfdE9qZqVsfiayAHtd36lAV+CjIMo/qV8Qeiha4T
j/agje9NFFB49yp8lqboF+FgGL91sQA9aQzOLWhvhgJqMF9VE/KgxNF4jyoJNCGTWH87zSYI0AiG
o5hKQSEhwosuG8J9VNM94IObboxxFLd9FnIdFm6G3SZ7s0Vp3pPDeQIZrdb2MrSUy/iy+ppkDmPH
CWkYqR1tGbm6D8QXMvYMv0ag0rWx3XwNRm2nlj+k8tSVRMbmYQ5n69VD8gVpJqXKXyGyJi6ic3t7
E4YqZuWdjc8YNnlOs6/q3vqq9P2vqh91Eh0APMTpu1s0nJ3moC7JV59gdaU44H/Ht9jWhIiJr3aC
aZL3EYOdXLmpr45GYD+HJMEeq7EJET0xCU1nzCtG4pdEsC49C5Z92he1dDL50tN4S3ejlj6H3VQX
bdXM/ZyUk79KLE1HtPRGaumSIjaPm6YCAG7XDTPKZSK65jQxPrOvJmtc+i323t6nv/Rg9tKNTcQ2
vddmRIvGLId2rfIje3703DZ9d+2s+kAEAR6zmDoxsvareZPcMnPvupn+cq/RT3n8SF29NQFUix9G
RG7TNsK/86sTfVlf/2GZ8Z+ITuyvof9vYxcCVNhK2C4RRI4F7uj3r0lfeMkgIq6TmFrrtjLG8Fxq
kqTbRqTHIjfVsVb4dddBXwaEE5cXhZf4HI1LxJ/h6fGEn6JmmjaDQGACUFQETqT6ga6nLDYOc9K3
Jh+qAXi6qB8djdGjspH/hBOp5Z4cL3kWXHSmF1ksYv2zBbmuY6EwBt8LoxM7L648wD91em/77shI
30O06FmPoIMvZBJdfdQGZzys2E9EsCM/6ZHvuLgz8/mWxsxnY+cQcCtjk6U487qeK7tW3iGKF6Nf
51GgcneYh6GS2dUDs3IVpTU429JxwydLerhLhsTfonowwkUfBqSStq2943CpYQe2466lkumQ7VUG
S2ngkMPWHbP0NNdmXq/RcAFGZYFc/JDIaJaCuaeQdLsrBnIkb6EONqVIhrXjzhncvHEgNiWTwXvE
VuF9dFkgEq5cQq/siD6NcwL1uHUdyc4i6dCSTuGhUC5fOcfT+KtQUWKdhSLyg+hrJLQZWs49nXAB
B7j1SbGO7IZIB4l+8OCZTXAfDGR15RYiwk6GpPJhPnkYmYwwKYjRGsXk4maJ0mvbjK07RoszTyVF
Z5b4401K5gQuOGLH+Md1OLhU8ZDG5G0y563qZwzofANCoVYDgk5kEtUQ7by+50qbcY1Psu7eB9uK
n6CI2i81IIFDAD8iWpdDzdE06uR+BhOEQM4RNy6n1NqR+JvRZRJ5EUbyKiMreS6gAnGKRj4GV8U7
c4qFiZwfJElwnuD87z3c3HyvceOdq7x89H08hUPGgML7uonmqHXuPaMJb/WM2YbxjtmTbiaKTl2L
dPFaVMsSyfraJ1ndkswYfO2ZSDnQ9w1T3XkdVssmKsCS3a6INkjSrVfYn9bX1spnf2V/bbJaiLC7
3tbyJfvadBVImpA2x5ruM+b0JikeM897yHQvPgjHs0JiOirL3C732A+n1yMwm9FWWECWbVsC6wI8
TTPyv3QGwruNNQ64JluIHLj/jrVdd9TVtUNz3ZPy0K+g5qQJeSseHqyJAYa7aWKrvBG9oJ6ov2a6
4zLeRRD1VqsK90UXPqV+/IamhS+InbAZkvGpDub5OA6+3FVW2S+vut25LFpvxogVUWuU7qFKp/Z/
JNWirpAWhQWHlANE1xLOX6Q+JpP5lJGoPPqhi+Uc0kRzrob7//ki/L9nx3gqc/77v5cV+/cSNlfM
FOD//P7H9s8/gx7ffHQfv/1huyRTTvf9z2Z6+Nn2GT/6pxZm+Tv/u3/xf/38+qc8/ZsdNzWQsrEq
/MO9sPyWv/303UfOhvy56z6ajzT6KH78th//vz/7N2cGiLuFR84/0VuIyS6yoD/321L+AeMNRctf
19vC+gPCnm0jUuJj+y1zwFZ/LKoQzycpjIJx8XP8/X34283FW/hfaoQoEbmp/uEmcywh+PWuhLOP
udsxF33PPywQIMRXjUsa0z5M3Jypd+ZpDEIAW9jWSveDEHv73kKQtYKpYZJbSNjq2kwnz94Jh8h1
7Up9xp4Rr9MBA1yQMGmMqud+LjbFwE4ZvxcBy16dHWVXDZ9R3HdHM6EYWSVdaECkmAvBOFy589GY
iO1eK26dhyCzxK7o6vliCwyFWU05jteSV+ER/LtKsHRuzVQfuDibn2EzcGbKlCPIz2OfrGZL3Zkg
4M8hxqztREwLDS/k0BySFy7PPN62XaJuUG37EDFmgDpWYkCuF/6PhP6HuUc9mTsL/9u+nHrzUc5x
jMnfq/d8MhI/6ggZ0+n0fDKQ02xMFDY7e5aFTZgftpYV98VHhgQtWumQlNFcgbJahcMEMY7ymLbL
7dW9zhLGv3XFcEQ51aeZZ/Wdk5pnB35qh7lkLgmexMp+AOJ8HgY6fHe6x0EPK97pr/CVbimZ4No7
kt1AE+9nVN5HhMFjtyuJIs/WoZFXt5UaUSRGaeA9dVT+46rMhsDcsNK6R2t4w2pPrSpFVkJQuAyV
2If0uyiffMwffmMOBELY5YchjOkWmEPwzWemxtxAVde5tfoSL5jh4WrAwdAkU3uAA2rejnAeagaW
grWb6sgXAzMFiiofoXW2tTxkYT88D4AbaWaQujNZnoeFuGGdTamMYwkO6HsrumDdpy7yfZ60ljBH
LV815tQbUuw07XcE9N7jHWEWkMc/Yk83cPTTiUSnkqypEnLRnuzx4tuAjuwiEcERrGwmn01Vvndq
wqjuz3JPVEP6kKfOcG3xmb9wq0BQiyPzXMS1PCc49OEzgOmjYDkHJSXeYI7FrqmFcfBNne5R8dpQ
OjKTASOYPkzYKU80PDfKkQCjPdy722zEe8Kg1IZ2IHPrPM0Ek62Yz8kXYpoiew1fLDqWdTw9Ml0c
j7lurauNZ8FhGVENHwDB9ClIiW0VdPt71O7dN50HGhCl3x7YW4un1lQ4/ZQu9UUYSfMt8wLWxWky
t/UaT6tb3/kmBh207NAJN2DWceimqcEmVbPSw01fkdqajvtiNvg1qFT0FQ91/uIg2NTor/goaqyd
0bYNkcGxfBdkxYfUaaId8pNM7GBrxKa6cFwA0sZxEN8lkeuvFOP9q+7m7gzVxryO1qDGFWDq6ZGL
1To5aYefxwEv/J3wzPBiYnQkQsxKiPtp6pbMUmk2iDmkcUMMKjoLvWAl+aVFcgHiXQDKm9Mr+Zb9
tgtGnAyZlW0sdsQHKTWTms7Q1b2qdHBR0qnOUU5iOFGyCyQRxfpOAdJsVr6XxWc7CeydLCfvbEXt
eMOQPQKzYXfnwqz0bZRn+Tf8IcxkuwDr5tqenitGUEzQK/Kb8GFRttgzABhdL5lVdfPoFtW4gVCJ
voo8771EAoCgQOcpwu9M37PUGu8nF1gVXzjAAxUDxg1HKhvt7mDUZnOQ5RCdUzcwD35KNdlJo75a
np9fY1e6LzUdxIsJuOmnFlVIMN5Y2gfCkoxHOfX2ZWht98UKasKFrUonN1S9GIGwI9+4ps8jXQjx
iypNISTS1YtbmtbGoA18AQIY81CkLPOZCs9bYU3eLkHGsLeTNNqZbaRxQYTtugZnjACltcNHR+bB
LoqgfCH80dOxTAtBYk1MTHDuuXsaYbW1kmYm9x2zQcIq9q1AEL+rW7t/qPHvX/ljcKw6Ld/g1uX7
HFzBrrOL+s722v4OYnnxOclu2DmWnX9j/+x/8xUxsD125b09EmkD7dXmafc6kCQNQcbKkOCQ06He
WjUpMGs3S6MTUWL9iRlGvdG9ao7ObDGsxFG3TtL4u92ApvSK9kTwFWc8t1oelN8qgeVuzaTlAXvZ
OszH6Uh7Gz7VoFh+Fi25UQgqx33X6AKfcm/X1tab5lwyRl1Q5cx59c6YBGCurhHVuZIApGaHEWHT
L6EwCtteYNrFwU1oGggLXDnirZmaE74z49Yqh0MeKrqOOLwdWeocOKpBJNHZ5EleH/yKgA2wV82a
EVZRbZumw8tima7ITqnoWnPFZ5LjV+4L2gJSOndpl2THqAcZwtiLUD+iZPQqappvJuIxAt5LietX
i5FULtPVj007T5vegQNt19rdFT7bPdwkhE70TNsPo1VN21whfF9No7/SyYOc0UFked9eTeA4n8yp
0kNAtt5nTULGaax4e5CFuk9kXAqe2Mq5jVr23VMZVBurLaYbS9t7kirmAz3GvAeklb1ZY/Aj5dLK
8uAjGiXgozyDqlYYh45xdeeEkKNK5vMWcQijY4iH1k37k5OU5qMzDSw6GiMZL5FkbLBC20df4kYm
gNhitHY5+xDgbKbxawwa72TZZfPC96M+S1X1BzrwZcrblz/yLh8Oyq7kqbOr+QObIWiuqLgGqcUC
DBLqNhzy4JEPIOc9tVXOOKdRHwoW5dZp64gstzHZ8DcKJrujta/MubwyaDfPbRznb3owGZhHYWWu
EeUP1U7bOI5srxthtHqm/yuHzs2ax/B3Ok2detUIFnxxqHS8tfDgOXv6VGCADj0oS2ja0Wh0hkOB
KtEkS67wsj1D8fKB+iIubrPQMCL87RmQB46BdXQ0W2tWG7uuE33xsfmfNJDe+2Xw/DPnxJmAS3oa
cwK2u1Z48bPI82SbUO6uVWpZT+3CDhntYibfnqHgIQ+ieCcSnFOsAMwtabjxulZ2fDChJW5ZalYP
rdaXRWVRVALtZNMem3IsYQBAvVAmIZsdpcUaT2W4blo9/gDOOv7Slf2jZUb+jW3Vh1cNRMsC7yov
vhF6KDJ7YpRkHK+LUuizFEs6dWUON7NjN+wzJ5bpbYRuMON6as1enEStnuxZ5zct4RqIWgy1CZqi
3UQtE1YiJENAgW6xi8hou4FLqy+dFRgAoLXx2KU5rHvX8taOXXi3XjIFP5SoxY7vaLgviNbjY+hz
MM8lzaVQ4dXMIYS189DtjCS31l6UeY+hDJuzKLg614lNko8LXhFT8eCHALPkACuyC48NPItPWBnj
ViHguwL56LemBvLfcEStyjZx73qEPWsjC1AuEAOD4VT0cPkUvukInbgLx0LUeDYHoyT8W8stvMNo
l4CIIp411caRbAPnRqpm2FrNiIR/ZEYUdP7iXzPd296wg4M7Oek+nbTF9jYsGUO1gnn/oI9xFpRX
qWEzrHpYWQ1aFSN+c+OmO9Q6rR5MdD6b0Y7DixNj0iWa0iFWU2Z8/xpFdxB79tZhPX1i04h7CTcy
R0tV/FJFqm691s2eh7TI915XmNsapfxhTh0Xk97k7GQSmIgMKxZXaeBz1cDkXFENiE1sFuO5Nbt7
12x31KnmOV1omyprXo2g3NTawUI5Ge/FoCOsgKX7LIrMY4DdsGgraVrQvrVrvN4kMLhQKpoAxsFq
dBi79STewJLJUcTxYKB4yTuMoWbqek+EKBPnHnYB/wajBG7YBqd/6Cz/s4njPwXM/LVP+4sVylCK
NFITIQ6zC0gewgV9xzjhNPoq3tluUkJQ1sYzE9/xSVmW/zapobrY0RzeqMmu33FiJltnoMBfETEW
7qN+qp4wYs5I2Fi4I4OL2br5xhXxJjyuWsUAUR0+AZDLDqUEE+P4zfF8AzNbVqBrsbtiXyHjRO6Y
ogGIje/wScKNMFg4kyjZHoBDvPR1axEGW7noj33rze57eYMIqyOWnVgNyWv/QqPdYYhMd5krGneT
12o+NpGU36jUw71rk03PVvujHNxr3/WPDhXKaiI+deP7ACddMFT3Q7/k66bzmYm4pAJXwLpNC/kA
XWkUebsMCQzHdojpyO5q8KIGAx4u95yicDtgoHyd7TyzN1UM6GXVRN5wDpB3HaOaapeBju3dl2Ts
XVoGRcs2wgpugXraP93ejH9UAWj1yjHklpGdTXpqykzcYHg3B8z3t+U0eDdO1xsH1ybkpU1m+Bo2
3t55O7Hj/jm041sb4YsvejfeOU2e7dyxhsgU0jt5lQu4BAXIbaBdlpN13nQSvSiuUShZ7dax5vgy
pwU3NBDiEzGz3jVmRslKfxziB77o/nH0R320S2c4MiiErxRP7S/S2SgFc63HpyjXJMT31AtIiuqi
l2vFTvFsL3U2SjhK7uyr/Cbk3rjhFqYoR6aNLqer7Z1JL48iVUfRRSyVvPgq6uG1Wieyf6j0ocIi
K1vqf22ojrBLeoJ06Q7gosV3fTbYEK1CJHBtgiS0AnWHeoAGo/nqNTwqMw6jpQURX91IvzQm+dKi
5F/dChPeca+biMva0/ZaRXjdtwLE+zaMDAaLXy2P+mp/LNkU1aGrJYC9xrNOY+OyEHKqhA885cFF
DYpiGEfrB8B+m5xl+Cp2MXRXZ2wY4qmpnTnE6Ldm8s0IWiNs1ageDBJVUfnwhgkoBw9Ixh3EIlTK
xtTCcC8phSFcFPUN4IuI7X/QAbRLegSVijJspfgc1lFoWq82IaXrXglx9RXjzprPYELqS8uI6A7e
11cfmSZNehulHZMCmkzkLMlaf3We3lcX6i8NaQUmeV8vTSqS8GLXW154rulgq6WVBfjFx760t7zI
pdGl5W2W5pe18nD1loZYLa2xa4TqvXDq97FN0k9vaaD7pZWel6YaamWxV1+dNvs0iANL++0vjfj0
1ZNnS3ueL436sLTsrDbl67i08d1XR98szX2xtPnoOIwjRL9zHnT8Veg1pKx9TQaWsKJnZv/y4C6D
A0Kr/M2/PlG/Zp+/Db6cxTmCk4Xxm4Of5S+OpZbAT5qE2thPoHZORRofOztQCHYNf2svq3xyP90r
oj3DWhE2jwAv7qFe29J6b1WEUL8pZfhjGnp9QjvJ4lBZ7VUxzXujMChfhKrOPWnRkCFQKlA8sd1B
JcTGxahSPtMFDjVJ9FUATlpagS6x5MYLDXlqVViU227iVQnfHqiswH19oOHDzMWIPkJwvRxk6deZ
lnydb/PXWed8nXvRcgT6y2H4r9+wf0oC/PMGopgm69QG+f8XqbGPWGVyxgmN/ko+zm/irf4w3uoH
fdfes8svLkZ2969/419YKHKZTVomSPglxZOjUv7lN2oGLDkKvGA/eCr4BCAYQ4EgwfEuHaFjrKmk
KxgedeetCeuNPqEMIpZ1gvTXbLlAiqYpDnZFoqFTo6kkYHgOBHe4jXrC3CMvNV7brvKePEA4KWgX
RNDr1JEq3Xbp1BzGuqzPIm/Sk1fM45FKhvOJccrKk+qhH2dFvrERMmzIkx2rkXo3tbq+UbAZvnlI
So+tDkjCrl2176bMAEigm3MPruo+yofwxs56hBYDBfFj5Hvzh0P6CCCGBS6BzKp5QaG1nF+5nb1+
van/z2xrvw3v/z+Z1qOrkrZPRfRfO9Ju47lsPn7DJy1Gtj9/7M85vS/+cIS0XVxFvmCs/rchvW//
wQOvBIsy5kJQfpig/x2g5PATmF/5jzC5GRaL7d9daNYfZGZ5Lq42vvOOxK36l7H8vxrT/9O+GTeo
Mn3G8AzwLZcX/vuUfrTauUgtOtFicEpW+EVFE1Ln+yax7kTT+sc4GNhuWcjYwv6nHXjBkmAu/o3d
gMCe37cFankdHH7SlZIoC4Suv78O4YcQVssA0ApR54cO1hzl2K6cKYzPUXSDX6n2rqDt73rKTVar
6NvsMLhNUAys6kY89bUE4XaY2eLGd8IsbkQyVutYdXAzO2D0nrypiOlFltquSBW7n/ppjx6rXhFW
YeLMeCYi/Ty5egsybguF/QqI9KLT4MSegMLW2wUtUuY8pAKt8lXipk99LIjnglUIHLjcmGjVSdId
GHNQDSLV5xdtejVPDkvFt7atnsTErCSYDkkorvi1QZ05RMjwxrb0M29cdSSal7O5w+6zKkfvPBS5
tXOjcD3ZZGeVO68W60G9GumMGjp5rL321IbjwRbyRInGvAn7gKwfx9F9Vx18uGlM73zH6VdOOLhM
MUpg42786pf5XaPmkze6P0GUHpT5DaDKMy0+DhR527jNgxcwmevKLRrFjbbtmkOOl+Fhtpp6zrAp
+2TY/yOuxdIiC2sDDeOX7c+cTK6NknIWOftLjIqjnKnJ9S2hP+1GhpSI2mKVMXmPeUYXaj60REh7
+AA2hAY91mN45dBG5UsZ+CTgA2fFtI0xnXj6VCfimalQvTINZ+W1j3Ux/hpydRxb832GXTpVrJUj
Xb1hAN6RP3hj1wSi5CM1ScCVJ/3nL4Cvu2Od6awYVecoYobtZA53oRG8BRVHpiceGunDIJT9syVI
dbZ+lDlgQBr+fhgRwVPhlCOuKqtzxRb8yjoNUAmMHUovDn+nm1ekKbxJHs068p4xtJgM4oofJWp1
ID05kFeIkgyGtnnSfTc7ZnmBCaMAESJS5S0idPRY0Su9/JOTv8qmmS9JqtPXYWaekDr3wTgMezUt
Kk+oTEfH9jZySG8kQZdeXZDOkr55ffAzNUq40pfKfW4JOllZtbEwd8179t5IRPR8rMLk1bEKjZWN
gNkkus6BPA9jvQk91HWuuDjTfaOqW2n6a/Kt2Io7U3lGpXXoe6DdvYe0egyYlyUdm3FGHx2ixk1M
3sxBRdchtM5FyerePxLHAwsdnwDHwTWOcaeEwfhazQxV4KcEcwwQnBFnaljNLU1cwzcHVGzsie0E
RapV8SfGh12dXjHorXVl3QPS2lglsS3mzJg6PwxLbkAX6RXu/VcoG2vHIBOgGCVwSjs/irJ38NyY
Paxz7w6i9CmyJTKV+TkebHdT9/IdnbZcp0idqS+BjSAJyMeLtNu9TWlczErewAtjBhJ9x+t9tdhC
8nWyL75JDVpjxon98Dim/jdSSY5UcT/KlGF0Pd+TvRiuwLXnuzRjEgv8fMnTTXalHNXGapIHFtgE
zQbmJRTIlgvr2vwHe2eyHDmSZdl/6T1CMA+L3pjBJtpA0mgcnBsI6U5CoZhnKL6+DjyjOiOzq0o6
NyXdIr0LiXAGnUZA9Q33nuuyHW11PnksNEw8Dn6VnHFSMw2OrHFdNUyqFXYjzXUeHLQieUZ/oYrq
hil4N+CCXSeOAJHQVp8loY+2cl9yNo4u/yJkzL7NGGGSc1jCWG6evbm5j4ruR6/yCmdbL9aV54Pe
V0/eiHlkCs6T1x3LOFoNeXND/Xo/W/WPLnPezc5EQxqdyIv5Uav0NVVevusqfg4XRY9GusqAKclL
zKuytWvg8/HkRr1BHnqHTD5hOqQwPtqluRJeIwF8jocRY5tpWru5qb6tNN8VvfzwY3JEcB+gixbm
GdQ4nLK6YtVV+1/UkC+TQ4QMYspNPaptbQW0PTaxiNhO01VrFHt/Dj5MwFerug14/jp9l7mYDE2p
PZvo82BJtRvesEunjFeSNtgEQB63CU1Z63n7IVOPFwO/qOjI9AmWXYJ/00b/pA/dZTZZX7aIfXYt
PZNZxoc5tr/qmAKOTDg2RUl7ItN0r0XRGRXHFkswweTE8K5Uk5OvrNn+WjQx3qUp2ljIBnn1Dh1u
yQ0WioemYi6gRJyy3dDObNWLdRIDMC8rRn3ZVe9A3UP0eGyzfgfGgTR4IGM4fxrXO8NmO5SzfTe2
+HybO1cswRJ+si8ZoKP/uXOdHwzPn6OcHVjXMHvDV45fqC45hPQy2nYi2lWNG1blu2iLSx54r0Nj
HMhsCbvMPo4w6EcGydgGQiMgRIgp/UFP2HulgMNT76mOxrDu7L1KLgTrvCq09eOY7QOedD8z3hBe
3JvjsE/nIF55wS7pojSE9LOfNUFOzdDc3AhhxLJuF/ZEddy8+kHDxBQt9IiTJTDJJ+hBap0mlOb4
eZMV4QCP2myd1cTJVU3uClYOLF7He3Am8VWpYzx4G2ja92L6BrR30R0WT/CiGt0iHq5cOnoZ9plx
pH5b46L8Tszil4jte8vtLpbb7JM0vmF43+iwsVdOE7yxBw9l/905xrpWHJ3sTVqnuTj1xEtYvvGK
vNQkfHjZ++CnJP0U77EmwzaVp17v7z3pMm9wOF4icXY4tOCz4jklon2cLj3p26rK72snf89jLYPk
Zn8GXn0ZenNfTuqMJiwnyNtay8DY5xboaaP/YEj9JtDEZXgsU0P+nJviM7fUUWhnHx99ASCObE+a
C1GdW7dd5xlMN4lVI3mCqrhM+8QY2hzL4JqBL64ZKG26Kd+N1nmW/oFtyb0eJF+DP+BwjsnjiLg/
SzTvE5ZUGkeR6ucyJh4iY8UR2+ljU8BEnt1rn6PYxE9OzMkPcS4yBj/P0k5Dq9a2VStxFbZ7A6wL
yYDJC7hnNKKzuSkEP5Z88OaQgdEOfvMeC9EvG4GbSLAM1XyAjXmycxPJ2JQxtU02cUtQLKsQl2lD
MzWf4NaiTWcjjcgG8eLUGsZn6NzraZH0G679OKKqZ1zOGsfQdQqbElPBsn8dNRwdMltjWSlXhe08
VML9gf3hpxn1ry3OTUYvtKh289KksPJG+SK9ZsO6de1CVGRAu3bn24DFrefgZQ+6tpz8WldQ/KN2
pwwCZwZtbcZncI/BehTTCZ3ySkTlOhi/M/YIffLY1cHdmBMH1pHWgn8qUaGbeevpOs1iW7Zb4ZLq
g3kt1NgtYvIR3B/JRtP7KwtMdBHoyuS4m4Pn2DNf41G/Jr3OeeDvErRjScoeDAd7Yj/MhNxVTX+a
9PxxMB5yiweoZQmbvGu6IL+VKPSyx8onP8ex2zMBOyUVMGmtnpgLs0YZa/c7KF4E76Yq47uRiZNs
SvZyNBJ4BJMOLKciPNG/ucTN+nb3kYC41PWgD1k+Iw6kfug175U0CSwo9QthP5u51g69eQx8jbRh
jiybknQiQomglycjvw3OJi4VovW+TetgsfDC3c/z51gHOVwMMoGcnp96WKWUli3DsQgpS+W7+U/N
EUAL45notMhqqCGboHvDHlS+1B00wjlx+vWQdeq76NAZBlL3oRpaw69hLNONnQb6znHIiFjNbsR4
umfv6TvEuDmO/tMtMvHoW7l71OvYiRn4ufme5WT6UjKD3mRGHlwRg/NJap14z6mG9xnRcciUNcfY
dFVc3snAN/s1RlqxYXvHC5slB2ORksIS0L/4lv5PlubzJ/YYfZ87qttFujSeSpbEW4LTuntmk82d
Xsj8SPhV80S/R31MYTatBnZPj3WeWjefv/FaC2ruFinGg2601bEcbPxmGlYVr4m542ZtCiNl+AdW
Pswt8iELUKtW9bkoZbzhrsEmhgnuoAVVezYLL7rLmr69C/D2QqPUaL2mJuBzRxN67mzPYBSnziV4
UOoZQryeSqKJX/RGR99eMreUiEK3Mez8e3uayx8gPYMLSk+SUmqL98dv4/zTR5D1pmWWM64ojeW9
PXTOzQmkuAaWrh5bcgkuxog0frDZxzZlII7KfhnYeWO4aXbB3E3XCIvOs2aztyUoTpk/HEgA26kG
I2qjMSVI0OsvYzJ7J8WF+S6cxNuTjOkfSbObPlEYFA892YUPIFDbe2Yr8pAnCkWOE5DrEicCmCnS
JhgXGJyo61euVeEeHGb8f5FprEtb5nhL4moH3Z9TJVWs00UcmaBtGQsZGBheLcwwa1Id8nfpZOal
mnoL66dnHKEn4CwGA7JiyfpQTu+T6MGg4nseukzdYxHjJq1yNTy1PJkKgnir8h0E/SLs6/knDixk
0mPbO2EVDbdIc5/9Yr4nAOeHmyy+mPwgSuIZGQBy7IOCcadjncgNTipSoDxWM7ofhzZjSwf/PI6r
t1GrD4OSOkpq+5ebcZmZ8sNuUhYOcs1eYUtkyaagcuNisJ0JtT0MtIsf2/quiJrXySxvZmEfEPVc
MrtHMjSvUcfxN+4RIF1MvXkxjC7YVFr7RmitWKk4oaLM3dtgD8+RZoDHZD+GPniViPSkJu0Q++re
T+LhUBm1HTow5vZ5MeB/nM17xUoKMWYGCbfYBLVAgj62WzzJW3zY5Iea9nZoum3RaixoNm3/iuV9
hQDgGIgldsDfxlnxXRXt81/mQ//Bys1y/3HY4dsusEwdwIJrYc8x9OCfhi64WqiY2DXs3eyVNj85
zlM/3U8so2FuZupOd5GpTGU8P3I+iesI+PZmyFbeN1FNCGDrFsObDzji0/v9qqTLW0NmXHBxljdJ
LO9UurxdaP7ro/H7jVvevXKO06eRnDdKZ17NfnlHyYGokODx3mbLGxz9fpmn2Grv+izV7uKId10t
b72/vP9NUMabHNbymWDxYDf2I4blKI78g4xSFRYGuhsT2fAWRUwMQIdThmik8RBHnDw6aiokPqN1
Y4HDuWS01OexEN2TLsv2SS/b/IjSFSTK3HT38Uw3xpYHUk7kcOYtp5+7nIPOciJqcWl8mcsp2agu
OYgK+1tVCxILl8O0X85VDRvoJv992PYZWZsq9cV7UVFnVLoKrrZMg40AT/iC34KGYRw5vnUxulD7
R/FoB6XxMwq0aZMjvrIqySX/+xIo+9TYjcvNQADu8CtabotyuTfIgVHfoO/7dbPcKsxzyhem592b
9vvS4bdZHmKXmwjDQ05KFrdTu9xTkZeJwzSVp3K5w8Rym4G6eU6iBJetP7fzL4aER98j5Bh3tNG+
jA3p7r7qu2qlksx8VY7HUCvvTfVjDCZyHpSFtayKGUClPJsbFE3las4p4MwkMNnfFRevzYqLECLZ
mJUpLhVycuzKNcmDoBtcTRBrYjde9GHnTl/uWdLMNDdAIbbQhzwW2t3v72g19Ple7rce97RGkC7A
UgHqtyyzh7KQ7odfm+YxlxwSOxcFab1C4UylQHRHMa4I4Ek/Lb16HKwsgJ+qm069FcBRqoZuYc2q
LWXglbs+gl6PqZpDdCprlaug29yPmv2jKRjl9PpAJzFTV848voixEMSqaRNo0U3K+pZ1It9oo2xC
nJk5nnhiH30a9i+amFfNR4tg9UGwaSv7GRYFFZBmWhsdWysnLHZOzNnZ1R9d7eTDk9tw0bdhpKfJ
zWO5snK7VpJ0594SQ94ADwjiaIJ0X3iU2X2u38WW0W2KQUw4LaaBoqfLUjgc7nsCrWvvG8m3IvcE
sMMsqIrTfmMa6gQgW1+RnsIhyoOB2Xp4c3qjvCsIudmSlkAGVFOau1plTWgM6Gnb2V52Zj35JyNo
bb12tgxTGavoiIV7/ZG6kKgSd8KpYIzPVTm9lGZePI0Q7u9N9tk7u+8HfxX3aXkSXiXCLI1LVgsK
Y4dmkLck3WqLyIIlpT2028HkXSt95poR9BfikpS3iqf2fSwG76CMFH/CXLw7xE+scgcQUeb53S4P
LBg+c9bzWCXtCvnctG6MBWVTAQOCGoWut2K+CL4UI2cc5JQWlU47/4Bi2g9ji4pJCVp+4UflSxmx
cgkUXWu09ANtMNz4OucQWw6SC8u07GdI4sURWkoEmp5cWBwQybmMvF9G1eY3aM8zTwEHipZD/xiy
b7CcrKtdYz0ZZJUATwd6UrK1LV0+uywQv2AeO6tMtlztdZuHVAXApFTyqZT5NmY/gPWcO1aZbmdi
iC28h9kowWKnxbfbzldllC6lcF+Qk9JlWPp8z9zQdMSXtjGH0JIcjoiIM0A1JGuXpd1ALDD154C3
ne7V+DmVurVxavnsNdket16w0RBF0hlD0XdjQ5xizzoqD+VJa/F+TQ2XRImEPGQgfRkiB5x175X1
PumG8iBMTezjMZ7fpL80mbFFTgg563xd64Gbkd0wv6N5yCF12YJg70xbY78y771OVh8kUVmHWHP1
oxgDecg6u72PSq97GNqoeGD1NRESZFE9maxYp6WiGpbaCppbf7GWemv8XXktNZipdd4BR74WRr+r
M05c+9lfSrZmKd56PvH/3g3VP7hLdl/l4tZo/9Fl8n+n6eRv+yhIhv/5GutG/Fjf4AL6m43l8Ot/
/o8/11h82Z9rLPMPyzJdw4CnuPhH/rLJMv5gd0RECDHDrkEWCOuqv2+yHGdZV+ErgbNsLYbGf99k
mQSLBLrtO5ZvoirGFPMvbLKwXP3TColyysXRh3fFBVIQ6Mt//4vhpCpSUiRto4euCvG9p4tn3O3v
8wGEhxFMb1hf4tWA332N+VPt5rL7mkzzVfr+G7hP/RrVqNadevzVAXtZpQRRMAhxSe3RDG01dXXx
lFZ6e/SGmPrJJ0RpHox2Ndfy0a00MFjmIPbUkhylcXXxqpSYMUJiKY2dt5LiBLedupa0dHkFLVUh
M8piOBlFIO3VnGq/WMxCvmtM4Bha/S7KmoET+6Q9JzEAQseK+K7x8E6u216by1OTsaFfdSO64NyN
H9hiBGFC1NFGr2m8DUsWpwqnz7GT9nxXaZV7IjrTm1aVZ6PP1TP1EgXMtpL0YxTNW8pgEeJpp+az
5tlEMk1TtGQKkKDWMyaUpt1fc0UcWpPap8o1poOZOv12jlQZQvrCB1kb4DqQKyso8NIx+m+jDy6t
ihGfN5b3iEMdvVclNoLQu51qnZyg8bo4exK9+5I39WkxQt27lB13ojWrsHFrOPuwLQ5pY1TEncXu
Z+eq92YKxNqiBF1XIxHKuOr5p8KqPnskZOfIHeDtj7RgCer0cM4c+zynTb918vJLGt2IaLX27hvU
Q9sxxiDUSwPfjF76jEqRnKWCMPoxqBumDpN59am+qioi/SmdanyxffpmlerN9itBYppCnbDc1nmL
u2a5vyuSs8N5udNTLpWk8FME9+jKl3vfHfjjM22b2I7I8aHS6nflUinwp7K9Dt/zmHjZjYXEzVvq
Cn+pMAjoTW5t1FDJeSYVJ+JVclCpSRCE+ZSJ1ClzGlibcaldOooYz5IRzCgNjaWsX3leg69pqXn0
pfqZkSKHxMXmm6FqaQejm6BUcsspX0F8eJFLFYVqONixuLFXEyVWVkxLqHp7NZbqK13qMFdaLRrn
snvRY5K6Hde/Diq4zZN8KCzaTToe2lMBNBMTB+ihYNCDHVD5ZVkL8LPZ5aQlHIqIfRCVWlM92O4E
usdB/keIYnYfkPGA35cFFzztaguUq7kHjTfcodlI9qgxFGgVwXEWtLu5q849oHvBfLnBlsqg4tpK
299R1cJndNoXA2n0Ezg0RlSs2/dGF8PHst1nrltzlyZD/pIh1F/zqyK2wFEDc2zZwQrptegHM/dh
E6VmfUq6Fn6qGl3IGQgTua2dxgz7qPkqq6YIY8peppH0X25uT48MAoOwmuyUJXBvrbvWvUPZYd2j
nmtDP3JA8ARj8jgaaAlVhQNZl3O+7Jjnn50KuKRnCuXRK1nNSsTi1Ww8RqQRhD0dzVIFldtOZ+Gh
txEzazcWYdqNOOjdilG/KRbiMcYSuGSa7obBqPWvqg3c5z7uvT2S+eg10wFZaLont84AvSYhYfkg
YZgda89JnoOkYo5bLnAW4czmNZsN7QJ5baaIy+QrXtpX0i7xgpEsHbekQ1Tt9FB1g/mFbHa4JqM7
hlrSommzBheE9FTOd77QGPizmaI7Gr8Gq83vvcoawevRA9M7MX6I4LxqXpZujTl+9W2SN7XGP0Za
DoIN7lTMLjJYJKM5+DCcGPVxGiKTNzexZJhPyB/xM3vHJaD1YZyj6hQZnbzHa8wERu9PvZsMEEC7
+hUuXb9iL8fqp1aM3VSjh31i0Cli1VoPcpbPQ8BfIxvVfI3E/Dg5RR6a4CnCUo3JAfbNI/cQk0p4
VltHd+JPuqB5b2TaLZ5qHSAf0ZilWXT3JKQ5IeraJLQKH8SAmZwQHabXOrbLR0ciBMvJXlw1Bh0f
soilM/OjUM0GFbXmBMhbHVCb4FocMt38fAeQrTlNGsweLSd8Kcozcg49i1M4cb4MA4AvpiNjDfX4
EYXsz8T01TqSbE5Y3bLV1onCTgf6WBIk5s3QRxwvUUr0aBG96HbJrbj8HUy0sps4GYN12QXmq4+B
cp0h0NvE0Ryc01RAPyUv0W5XqRWPnxqSdMJGirG5mZX/7bTynI89p69BRy1gTJn+/UD83AoVvkWS
py/GqzmKfst2BFSohr0DxwerZle+VIR8bWoTDUYwi5e8cBELjlnocicUgAOCH2x5520dVL/KiQfK
bbPbUCNJk5MaQ6KqL/MwM5eA9MBtJ5/brjEZb2rBull+04SeR1troJ73c46eDu4fm+BP6uL3wTMj
PlRyWDYZUoeN15JDiRQmuZui+CERdXP29XgkR8l8TAyXVApGEOsS2h2IBcQHdAPFioGdtW+HtLnF
gJbCuY1rJOZdvrem8kPXOIVcgulJltm4nfOpCpZZtvOLjSP5rB0BnInl4AamgPtvE2T9P1zusgJe
ADT/ebl7+Yg/sn/2VxMB8Lev+7Pedf4w4clgX0bNZTKzw+T+Jz7c+l0J24FJKgsO578qt1yKWocE
iMDF5k2ribTw3+td5w8j0KmDXdNaMjJAi/8L9a4ZLCLFv+hMGU4g2vXRl+LmJl7E/Kd6d/ZbNtGg
bQ4qIS+o8D5iLwlWSdLkF2Gr6IQk1wkLLX8mSQptUtpruxqBysdkO95Z+q1Bw+fvpOMWK1GN3N4U
HHbhP8d2jte5CSgW+8Sjn02XYsceHgdcWqvRtOBjV3321IpUYxWJhcwXNqtOirHWPaNmxn3oYBfy
iBwhhfOx1wi3ghmLsTrCdymj50lE/haMGva23DmxrXQ/sDKSZ0xn25YmTTZa4XNG9vi6G3GbYXJa
yKYIUDR/3I7tgKVFklzHcJUdU59byNcrOMsIXfu40YApjY+1sKkmg18jlqGxyk8IqDeqNa9J7hzL
piKxF0dLX5rfjpFMd5qIlrVw6s87UzRPCZ/tPelCJfHFWrWDs/A8sRdztfHUO3yYQVdZJ4kTjNc2
vdhFt6s1sJOsvs6W07Pu1st8l0zdT+qQ+RK9tIFFrVhnwZYwzzvbEBlgmu7FdVQI1nODdUXVOVmb
GK++O5tEuMCVWwNp1eS7q0LJW81WS1Rcho2HPmOomIcxSQu1We411T9qpjOwB22nZ9T/zsHyciIR
TKyiaQkeDeENjp+YtUYsnrCdXIU1fEYO10zc2riskN6uZZnb99gkSA+GfcJIBuq2YnW98zs74gbw
nQMSL3Wz8vJqpbWNcs1igr9ksT7pWTQzekDzuus0Gd9PLgmGGGAoX3azdIuHsdG0dTcM51i37wUb
dGi2r3GmIJdUOOz7yd5JRKwxni1tZgpLCTDGY3MEYaoclfCrai/44L7T4gmgEQl38Ir3jldlGC2U
3ICIsqdhrSPzXtWBpRF4PRNAZ9YXNeDTcaDEKMzbvu9vy1otmjE0EC8mYMtVJXItnNzle8tDrWur
Jqv0ZzMBLOSrgcxfnHztYoFgcU567a6GYVw4xocNH/E4G8E37JWzlc4rW8exHNUPVuczxpEhGM1r
MwvjxwBgUV8lZbKx+8B/CtxiW0QR2FBTsWFBBqzdg4d0HoxxBpYeAM4uLJKvK7vujx1gpm7dKscl
6daq7qyoVUdp4wJ0oDOviS2JjxrZmAcG7/0hk1H2Kq14gSv1bXISptAPQsbNXrHgw1EHBopHtUUX
pasfYHPKtarH8kG41nDwvCJ754pEgA2jfp3paUpFWbhH4ZbBsQJouTVcjKedYSxLw3k6s8/Kb3OX
4Aqq8v5O6lX+nDcgLusBPteqqYLmo6NcDmtDDBfghM6ZbJLqlA7++Ijcxbo4xtzfdXpj/DBk1tO2
wBGeyoAJfOamOHUC5x5Tu/iy7AlVR5ur5leVkzIEcplPfe7H5CyrYDw5UdYdswhz0posQP3B9yf9
OlpDfTFYwZ3ytBTPlFUBIjOwbzwq3snSRswB6BhaoC0J0+a88nYESWaXgB8QIQS8EJkRLrr/yy3z
H+1+fk8h/n5qMwPBPMTshFvAZyri/RbD/2VKkdJElVY7gxyM4+xS2U05HGQ7tBfS6FjbRST4VQYx
NMqEOEy2DoF8oGOhGIGtQ5vx7A6ttiVzHZiMJ5cJamuUoRMn+pbdAinEdhKDJ+4x6iRl7Dy4hY5R
W88vXuSS+1sH8wPtO+VK5GdnFcM040l6dsA0YiwmxrCFebRmruGsCMq+NQ1LuL4f83sSEcmGG1Uf
3apxNIF4ACCf160310Uo4BoAmSVeDOA1bFcc/yLq1y3a4WmnA1WQmwFj+w9Aw3US1kNcbhwCjZ8t
kgt+4Pa+a7Nu3mom8ndP2xVJV6zxN4cVvt513Xm43fXMhbdUnDSLkCOVG0B0eutaTd1JVM1T1Hj+
uir1jvGOQ5hAMpGdQJ4xmcopAAgoQd4oFTF1CClnezhGTXnyEl7/JFEIh0BDjwU+DNk3eI+ZFKzq
0Y1/isEZQRqP9laD/blirO9cSnhCnDFGtvVEKq8VcIyw6uP80s+jt8RQ8CjN9O94nV39NFYOa+Ve
tqfE0YJz7+jiWeixeYoTt76kaLyvpeHqDyK1WBUHydAd+V1PJ2CgyXnUoQ9SbfK8U0q3v0jiG+yV
5VniK8/KYj1hxto2y5uilnfGX94ec3mP+uWNylofQm40WZcUTOxjVSf1ydYxlirRDtD/uCoLt2k/
AI6iV+0DGzTt8gbj/+7vCPybbpGXFrdhedMdg9sHXdpI8c05kCwngprZlFV2yaKkLpbnoPafEPll
78g38YMt58q8nDD2ctY4y6nTLefPvJxEyXImBVqlH1KWIKcidjmypq7JXxEmE4uW5sFi3I+PWYcy
cehc/0NmpjpWkcYgyE29B5EHHIwBf/pIAeL+pL8WuwmrPiqwxH3gT2v3fR1j30AxskkSwtnQLqtF
3hc1wCLaOaBCSbGktFs/SGGbmo4nxy25SAiJEBq6Oc4Pq1H73MZVcSk86a91p3ay1UwjO4eEhTsB
8qWAMIGCWr96NQOP4FzTSSs8iAV2tX0ZN0N8MjOdfEocJnaz6jt/6JFRFWrktUvQGuuxhoDWF0Lh
E1NLQnw+OzP3NXAvHUvK0jNUhSx3ft1ZUDgG8+zHk/M4aSjks8BqN420jWtL0GIKyCPK9V2NETjb
EK0JKCxiuoZMsmK6Nrj1GPpBxgyj8Wahbfo8owKi42X773Fsvs1ZlkA/EYXB2aKkDHjEjNo4Yasy
ryn0KqRM9aMXKRJepEQT16pq3QEaaIk2g37WPXfDyUUoSq+onz0/qM42XrCV2WkRlFAL0m6DRhel
/IIxwcpYBfEUgjchnNX2mEkO8r1Kg3Gr5PjTKCywAY1F9IcyHyK9Hi9lxzvqts1n4n0ipg3ulMlk
zvWUGQ4d14BV1vZK4sDxRMn+1rhKNDgkqvrodseI+FrPhbYA07Cvbcyi7uTuYefl6ySx7iJfuwLY
5s5LDOukcf9v9Ln6mbWltvyOUDcpXOWNGB+4zp9no0q+HRu+Stuz6h2zcj5C2hxXE7EIL4avq1Aa
tfpmo8EzCNegslBSd7okjDTx4v+/1vg/Y2n9rV/7L9ca549i2Wv801pjafP+vtaw/2Bkxw7dtx0T
OtfSsf3Z5rGgoP0LHNexcQEtRKz/tdZw/mDDgMmHhTWCBiQNf2/zrD98y13iMywchYFFI/qvtHn/
mzNGdx2+DfahAEGZ4fhLG/iXgsGpW0jUxCzsZZPke4VQbB0nwR12A2h4OIjjNcjzW4qrdGcTmLeO
xTw9521HlouRvJK5XJ81nM/XOMqno4cA99oO9qNR5PUqnQ3q+JG5qsmKkRk5QwvQHdGLDW7i3KXa
oW2ANtpQmo9Z2l41rELg+Cbx6WBDQZIlYakO2YP0WaKwHs1TMOgE7K4oXrk1aUfnsGKJcQvI8VxP
URet0JhXZ86sSYQLDGudkwXNZRkxh6xSD+5WYDt7tCXTE32deEuq6os0mMIL484CPjQl8j0xUSUS
Mb8HGn6RWCIBDmbpcQRVGbaww8LCRojBwDu0+0VH44zMoiGRXmWc1We4N3vVQ2of8yUbJ0EXR2y8
wTWWoGITyRtWj4UhVtFMaEXHD4T7bjU6FqK5ZlF8BojT9D7eNoQ7ce+ZGFXoUaurPspfo9PaQE8j
XMVCIag09JFmsNXfc2NiTsaKdNgpJOOcanb8NIzTurNgPwy9lz1iadV22ehEsALsSH8Evu2jM4tH
FlasmwfSCJrl/2mO3GEcpSlxNL8r1GQpViOQNeDD7ZzUHqJYGBbjkN1nFUlHh4aT/VhNWSe30Wwy
7ranNo1Q5kTgb4SvBcehRP3UmU1EsDnGIrFjtz3cYXCo0ekHc+2Gg6O4OZiFDJAl2ipDBJzb6B9r
ayLueioGeI+tx6zRqxnADXmOjAv2avDQgYRyVzngQ5AygedwXKK/JUrMkPB1W7c5z/Ck2QAgMlwI
MhEdYoz1KexQH+DuIHcQ6WnH/LgY7h3bao1HlZKvsg5kq3GB2l6GP942KHiDhsL5KhGuiL2nyGa4
4wmzFiROHM8hJYp50bQRWHWV5Eev6eMYM1PVVLhAazb7krXfXfdbXDoazaLqHYPHdqBST3WXm32M
iLHC/6R3eThAXaYW86jJrYuv229Z6z1Mkolsluiwt5JmLzqaZKfRz1lFTwus9DosbXdlPwF53SjD
VpdkaWPzdBmZ1icZR6GVlgdXnN2cCUfhEcMIhQnKT8mvzBydsMtVfoj11HpIlKV98TiHJSgfViwP
ZpdoYTH5j7pOxEs5TqucI2qLz7MK+VG/rfkx74aw9fkaw6jecs2Uj62uH8ifSshKZfWCj8BmhCNd
mlfWkUmWPgWVFjH1aB98V6EtVEg3RrC+g+PH+99zgt4St9waxC5NPclFaJEEsFjJcNMrBBKE5Bh5
2a7VPOusj0rtw7axt9QEmhfEus8QXFdD5S3YVL1Y1aUVejDfaqZK+K8ioyjPeiLd90DFT2aWJ2GC
umuH/bXilZFbIHaYaSyvW8Mx9X7O9kw5ZCjwNVN7Mk0JqwBlmiiy6DA43hNH3zmWqLysWpmg+/1t
B51YySzb2sp0d1Cjdjn7mJ3t6r8yGOyryVVfcRrdW2IkRWi23a3dYgRh7/s1dn762c/x93/dH5pL
3OFfpnpLf4gIynXRd1ievzhD//G4B/A1aENiBHsNdM9K5BJiwJyxfoinyrkXKFKStTb3MM0duOVn
vZySt1iWzBiwh7kDy2D2uVTTLm+dW0bBgzSrfkHmpo3iuUx8yhgjLdHlw3h+KZvC+ElsG++z0Ywj
NNgq82q4SDM+ENTkrKMnrEd3qSF6sROYfICaGg6HBUz4I1XiMGyd36cJ4n1Olvr3KYNTJTtOOVN6
kucUhBXeSwItmqagb9PJb2ENIq+d1BhBQeL3Dk2N9rtZmi4zQl5kdvEW7X1/yiDmjyQFbfuEUHfI
vCdi2cajg79zQYcdWYoDDTJRExGZI0IA8MHaLIjvIHPnOi9touQ4O7lF5EAuMNmQICCmKUiILpii
HR23eWf1XvdlIF17plwvN7UlMp7Vts6LXZsa/QSsvAx6ZLgJjh8GXUno/ht757EkuZEm4VfZFwAt
EAACwDW1Kq37Aqvq6oaWAf30+6FI2gw5w7XlbddsDjMXdnVnZSJD+O/+uUganm7bYxWyKzNJHyBf
mMN5qpN8nSUDd2dnlNvRV81a1EYOTyTEK7/cvdVyC9dcx+OySc7UuNu3nU0KHEN8WLyxKFCcUbvz
zilpE6fhoIn5QGt4GVXnfYat023jIrlrslKelKBms8RzbF6hBabEdZajZfvrMbPN5/iS49YArGGQ
efNyY+8ylcV32Bt7Ex/SLeVFwQrSQPg9qGO+rWNcd98mh9WLrIe8CUCQ3MVotNDczA87C2ghH3WO
PuvgTJA5bcpoDauYErksLwnT1uaJ3a7BAmD03EZrb6PGpt5ydaURmUJkLiRE5qZL1TqvUThT2mom
L2AtS2AwMdxlKoW2hhf1hBXNx9xvy3XajYeGQjz2uWrvj9ZnKMxhp+A71NgbAE3ZUK+i9mS5oJTN
5JJJ86zz4CUIrY1XAz/shw/mNcRq/WvR96iaXefsxrn7hJxkXqe19YNBM1OtrrI3piuanTca3qE0
23cKg/Qp8sx+rVUafU6Aik+wAvRdjnP2qDVD3ASmyyrPU+L6vf7OYdFZF4712duovBRuqjXDem+T
m3F8tin8melz2eeTMK+L2r/CVz6t4c0QeCmMaWO5ZrmzaJhd1x2zut5pCD5XHUNDYlY+H3ZqA9lp
PaTPTO3KSrdXc2U2DAunae/aFerkKB9w8Y9XmWnGR5lLtBIwexw+THXNRNq8S51C3zpFCDurj4/U
D0DyRGPIVkEBRpjeYDngfMvsH5oynq3szOonpjBvxfZd7uxuLje5pvfGyuViJHXCTWKlyb4exqWY
YTGfjl8+VDVO8gVcIO7UvsGoGjtxS87CBrFaxEnyk7YEfK15gOU96UKgJY6kO3tvNCSstkRlc4a+
7NHNslunXxt39bWJq68N3XLJIB28r42+/9r0568DwNIPxozz62Bgfx0S1HJeQBxq/3Pb+hu3LZsh
019P1Tbv+XvxX4zV/msTd/9651p++NfRmsvNypQYzPAScVWyF4f8b+Ri8QuuJLwYtES4bLTL1Ot3
K5n4hf8CMUFhMzOl5/PX/T5aE79YMAPo8xXgXR3Gbn/nzuVzefunPZjX5HkW8Wl6+Ljeedy6/rgH
V40Bz6swbTKY8c/OVddu4+wr5T8mQUVUMqGgdWI61uOgwWR+hwr4hq617/xv0cLQMo3wjHXgOe3U
voqdnWkY2+QyJ82pHUjiu0Sng/4qGsRzTew1XTa72dknc4MNaF1GwRb7wxkCo+q8nRr42bq4ZElz
sIEdp8q6U41z7ShrP9T2nR2Y1+RKpAo/sH7vpsqHSVY/AHZ7mMmXAopa2xFLKe2KWfsxZw9TSFNo
TqfcqHauPVy5lUcZS34xK/u6sMfnyrLXVVvcKkdsK1aXLOdk3LQbxJZHiMEeDhb7USuM90Nykwc2
JMlocSE7zVKf3q+4ZN21oXsAr0z7jdN/axv/UXjNa2LzljEA2luBOmLu3nJf+06nALJSfrGTbPtP
T96/Udr/TLb49UNc2hToGuH6/Od785Q3UkfgArbUv27CgjsI8bBwqG+cabpxGyAoUYRRa3a3Rodj
iU/mf34B/wJWQ75VwlXc35cRMlrAH58iJHGP+qgYiG2xmqsqvnhdsxsFYmMPrxKrmbwBKaP2XTDf
khl/7ovYujg4oY65Ylzorn5MVtvsZsVegnsi3rlmkG+Dcr6MWXOg8Q61yuN6Jxai5KxpJHWyfAPg
EmkNz5xGNs62gwVqccQWXZaBQz7POtdQpzjqB+hgWn6fKEFaDeN8B3BsP2tGIXz3XqxanjELXnkJ
nev0o53KugrPX+/P37In/O/o7n/5p/5vImNQl2zwJX+9TK4XsnscgvT8N2skP/nbGql+WQrvfZtk
BzdItZhqf1sj1S94bCX9rCD4fyXK/LZEWiyRPoEiBml4A3Dcsnr+tkTyn1CwGAYq7DYMFcy/JUuZ
f7ymLJYIBlmcaXxehbDtP5sPuki5AFeTiWBHUz/ldem+1i4V3h7J5qVKsBnfWkN8LDDTH8i4xbdh
KYhWQKW6ra2Hcuv2ZbN1GYu8NmZfnvq8CoEsx9mnA8f75e8/av++IuAPHpe/fM7+8Kf+Pxm/2b8I
uIn/USKlNue9bWP9L8/jP3741wfSA0okBMgBdkc+ffEPP4wnfoFutGil3DSWHgI21N83bfsXU7DT
87D4wqECitfy2xNpugivPEWesmlU5Kpr/Z1Nm+f8T7u2oq+MB9GXHgA1/r0/3ZzREPuU/41sa2Uk
d6CNGqrKE4lfy6eqfWVVgM63TWoWlKCEAZYS111S7/aIdraifMZeD7h6LsXwlX6mhXnVBfSB44vL
HtJ4MB4dM4iO4Vj2C9AuOje5K9ABHTffazJFW9fidKALHX32ljczn2e7jDYtTUvUJqmMfpmCTpMg
K7xzaBY2N2LkgTWl8tOdGsucJvX5IeysiRa5Q5bnnbeSPQpFFzfNOfJ8Rn6cVeSOazmDimAM6eV2
s4l2xkIONTfKiatDl83iIXDi7NUax/ChlNT+KIFiivUzvJqyGjP8ZPTzB5cihzyp7YJvIRgwUIS9
Xnj6TiL9GBgw4c4yMSFgJxnBjlHr7Kaa02RbGLw7hRzPIQSbrZlDmo+tRtL1k4UoxTEzvlKZH0uT
KyjesiPp2npxegGJk34Myueum4aZ/xmWRvgkcRMvGSeqYmhJNSQqhwRu3joCE6CV2ithce9PklCe
Ej4ATP10x7ZUJJ3HsnmeYpwUG1eOlFDPmvqILCkE3QFjXVAXtlBbLcoprjqoae9xYec/hAwwIzf9
VBm0TfZ4VIU/Qevw2SwrRxuUHuUAZ9eoBOEIuDukgNuwSuDxpNgJ+Aw+6feieot0oNt13mUTkZ8x
LmukQAmYwCijV7y3oF8sIaODpfl3zMkq+k3aDB4M95AUwdILRKK3DBofFotP2QsqbveJkXiIdpYs
RwL6hr93O5fptwzVREavA2vsWh614vQr6afWtuQt5T72JVCdfoyKqHwPhRUlBJC4XZ45f1nVmhrK
6ntNYvxN015gbkg2Mw73k6b6ZsKLg8dtKifdJ0nRPJiu5d/atmkEm7ka/EuSlvo2j2pKxGgbgNrk
j15zR6hqfNY2t1vcp8L40VWJg8XVNJtX203zD1UrJpUjRy8csP7wqIvCIo/X5oxcm5bo0AE3FtbN
3ogKggmYyYdMYslvCaeF0TA8+wqOs9OW89FiAMj3Nq0PjHYNGpkqCLmgV32xIWg/1msQ5+lHyJdr
+VFqPUBgZll9ELFOmq3NXR3Nj1FwhomWsaydjeIlRA5+pVUKt5yoy3kZ1/MBel3Jq7Ymz1l5Vi1C
5BnmASu3RuOcdURVdqB+BJmc34YQUjq4Bkby1veyXxizAnDmh+OONNFDQhrfRkYim7qLRloy9PCI
AZyCAM8KDikjplORZwOW+YUQi1cv29bTqF9m7ZIaCDWlipKuBcYrLTwQMROMwxhHqTYdxTsKzBV6
pBccpikiDAsdvMQJxbEVvkdlRcSl6oZjpnSDZ18iQxUtHpSNoi99bZgc9FZT21T1egjzehPNhZ2s
7DkW5jofxrzcSozAOTj3Ov4BQjR6mt0oOovUTMMtc2coSwb686vBF8XccWdpulVa191bbiUReGZj
IVmm8cxXe86d+raa0JOgziZIN/lMY4FJ1nDVcpggdN2p7rqu04nSo6Isj22u9ateHOnYOz7TvE8Q
PRrW6T7LEK/8dDERd4CFV7NPi1Urk6vZkzOidzT2L3YQgrsOoujNxA2TYc3K520ncf7zwDLTXXPm
X0Dh9ex+14TrDiF3DlHHdrX2Ck4dbCXMzUPqQD9tI2QGjQyBq6Voh+Eq7pAn1r4TTs5Gm5SdQz2n
I2aNEkO5O7+ncg/MkSIPGFBoWpuUupYfk73AnAdYzbRvssvYfX5o8qY+BSouqDjlTMQ4w8ETng9Z
2u6ltnR0KHOoSnasWgAPM/UbVNtZYUz1mHIY0nUWlA1GJky2eDTrn+MweVg0CBiamkpPMsIji5Of
FQ+FwddNUyoDm2Wo67fY1cJmzO55d23VyOfJBYq/Iv8vL4Lk/5Pf9PWrWybeyUuyEMO/2xpkjarQ
uqlar7hRmBqe6gkjCMuG4vFxoaBYXDJN0oE67q8oUABbZY92+OybnQCqRlzxp6iF6Z15hZFF7AWk
AbHNyXtrqbwv2aCkvuJ76+SHwJYOC8MA6Jq1qbn0uZ9cD0FJA5CHP2UMJKQDOgqInmZGbETrbM7M
nVGXMd7LwH2ZEjGsMuIrN2nii3Uma1BPQxnfchks1tFsmtyrVIneG9XPHXOTp8q3KAUAXVUJ13ps
Sanfphn+gQ5q6qF2cvFIq67xQyYlVCMZym5DPbF1xKuPRz+K7YCWgdC9dcv4sSyFcRuUU0DBRoFk
Dp4ivTUSfDyhXZHGHabCgQbhwzHYAg8vJrKuJk7ayU0g0wQZHjWehMyq3gF4BfjeuhArEmVDaz2X
A1Aukk9tyNGhpyDkexaR5jTImjXroiujm1Jl+pJX0I1gNcTfwDm9cYCe92Pnj/sgxujiqjx+D7oJ
g783AN+F9LQnSjAfAGkUu5pkHOKgJ41tMSDVTl0Eq01qLZsr18nzb1nUYwP1TDl6W5GlGJ5og7SP
WVixuGhm6ccuitvHeh7KA00bEXNVQXHEEqLI3RDnb8oQiYyKbe1tFqA1meP+0WFruYPRxkwOWH8K
/CbF8l8iG7/PkLivPI2gv2VFiI59GUTXoejlg7C76pYwWUJBYIifitiRerCcaKrXmb1k8bUl94k3
eteUcIbtudALYMaHSA1E383eqZYP3jrKde9brkc/mzqzXHZljhJoLVCwt2a9WDfMqTEqRuldkd3G
I+jxlYNPkv07xzvS6DaGc2eX04ucYUyTJ65u04pKxJXNXDFeMZa03lXPoRlAUxg9K1tHDaMLrzQY
QJPtssOEESQzRKYOEf1AYDy6aThShaVLIn6JeoGlL5+AQfRw/mtaZtLcvBlkJOt162gm553B8qAK
N9yrPGvfqAsu7xosuv5Ghl186mpRn1WU8l2lQye5uJNFmBzTT7+mZqm74wDLHLv2++g1MiHur7Kh
J+kEg9J6FMlYv5DSr259TV8eftj52utU2K/YtuyRSX3DJ9o08ZzTZ+h+lrYNBBMm+XRt9EFx8gFb
75vZx4TbDK1BgMJV3+fZa82N19jTe0tmn+FTXhhbe6r6j0RSY7jDvdTtBsoCDwnuubs+BYL2629Z
28AEcMD29PO6j1ZCknOYB+eFL6dFT3hcVLfeEnyM6vzJSbN74EnUtWShvvh5ZPOdDZhM4FjHS5g7
sNoptGo3hSX54INA+S9I5+wgQTWESCi2BCSGfmQ9J/QbXXyzLO/9slT3sAeqKy4v2QU+cfZqEN1K
1irX3ncYdtGezKbDoE25zjUu7R4mXNaO37x4EtOpHK1+OuAv69NTVNC6REw7nA7Ql5zvQRaShS8E
7veC9HO2Cit3mXk1ns9oICRKxM71wzC1+hGGAdUMfZLiCOtmRLSNojokxnhhxXIvSz9+6n0td0aZ
Ja+zYcz3ws8hKFCe67O3Rf2zSS3kPQ6p7Jre6vl2jq32h/W1+TYB5T288Qw2hzC4n6JJf4ylp69c
ms8fm6E/m3UYKiaQvXqPqKkfmbJ7ES7+wHeZsiliof0srRvqOYaNGELAE1E8MfzX2cLGEYWdphAj
k6WdsNYsGnWJBYJJgfMqQrMmXFC3jItETBdULUT13TZqAHNlQ1K/a8q7OB/qF8AkhO9rvHYZ3pNn
YI64z8ZpDI9+39GnYw40n65zeo3BEtmzcUyLWhykG1OI2Vg0SDjTAvVZKDDE4tvuEkdWXu1T5bVM
NkyYr1wJ4oNqBnmoRlHTEhIAUzOdiHPo1JOwjbqiqjZWtSROE8J75hpCBx+dKvWJypKAWSPxgGwj
A7O81UBUDh3uXE43oOX2lEUkB88pmIPjZpD3gAzsw2Cq4sMr5/zbcstu+ResPNt0tmU8iK7pbiG0
NS/kTadjalo5R1U2/DX533ld4cvlv/SCI4Yhy7MWU3Up/ZAgIfa6MliXWZm852XWRAcMAeENQTd+
hTQl9Mv3IUnuOj//2bRo6XxdYLwRIr41mnjJFWa0rjWz45xDZmPU1xMfhKoQ+PejTOat7c3SXtNF
r1IgFz0HEoBpAGhjx5MbNdv2EgZU1UG3lM/2ThEbXE0jQEGZjHPn0LSaj4ZjvMj96YyvFimcHek9
poRHrYuYXosVWWwKxApzKfLAfx0wCHTacTcPLbz8VCsmgw00DO5sqdoSTo3OWhLgpZBp/sw9UwEx
GPN2OUbm1dbtosZbY46Nj37KuWwM0/IqbL4y4WHgA59xxRO4f+4UredkBNPYxdfCM5sbu8MBCB08
OBCvKQ5Az/Wx6Kao3mFLGbFGwX3f00lcHo26D5C3vbheOuOyK7xLtTxaTUN+we3GZQLmDrR7/kfM
+jvVmYyK/lpaPUUAIv+qOJOf/E3Jcn/xMdJxhPqztOotyS70TBvv3h+UVUkYzMOQQZM8hxus3qj5
vw+fIHKT5kJ0hdPN/En9reGTixD7x+kTnkEPTgIdq7xG5jh/mhuIXGAFMiYCt6ZNhyQMl7JYmb5J
PBGUVwf1zgnUC3uSyDa6UTFoep0SACZNHZobjnDMZIKq7h8GMfjWynVaZ9dmRn7ljd2yYkbtfcnp
lK9aSYk2NybOMxMtt1FXFmdeUA5bkxPo4COcwH7yhvGiStGcgSoV8Y3DtYhUt6I+nPKpxEUGc10t
t0lUZvfES5yJS+BEq7zjzhYmiFoU/r50I9yKJRoOClVIEdnKSxLvIPzCgQfaB8l93zkgvukoSjfm
WLwS5R79dUe57ye/HPh8j6k0m6jVPbpa4c2SRpAFi4cv2A9O5cJVJXhcrgZyZjvmjT26nFW75S6e
B7vc6DGIr+MWOx4WP0xym9CtZnGiNmXhVw0jExRWgMA9JAQ2xMGeKWfaBo0dU3igBjWu46gwviFm
+dipsym+lAELbU3V14UQni1WTVm68XmU3Ns3XjYRYMgtFwtN2jTQkco+8CBTl91bJtMBgHXXlj/k
bFg/0d+IRtFjQ2IZg8nVOJBGWLWOr+tVR0c0jY7VmB5MQw63xmz0d4nV5N+tPDKSdZpEYbYlwmO8
6tqewKjgdSn3Nl62WwJh1J9JG4LZataU661pGMweSyvrKf/AwtaAfVNVyWbtmT9VJfyl19PM3ggv
UNzdGURlQCzO2DLxQtPnVdHSibk6xe7cBTgGTZyZO7NC2pKNXq78RnUb9WQBrbaE0ZR44rqmsNpY
kajOh03mON42dfLqXeh2xI2RWB3pownEQ+WmJ6Np5RYeVMW1veKaG3sY4OapmPatXZe70jGnHUzc
EWNBMF2JsPAxnaf6eazK+MX2E6pcrRm/uwc0/5XOj/nBLMfxlmQBtPeWY2lq+sNNYlLBkKUObrqq
Tq86E6dGx99FN+0I18nkhkSIzWMrLsQiyMjtMDcSG2MMFQMX96LZBScIdeVB5pG/KywKycl05M+N
iaJQetYTdHFUKgXYbOEO1/25l3wNlvrYiYsu9zAfwPYReF21HjrhYWiL9bkOCKFD/KT+MSxI0HTd
eLLaYrmPz/26Foo9RMFoA/hg8/6nklSySXjqzpI9V7cC9CHPurWnE9qtNhFNKj+9wW7vuqCSwGod
84Fm8/l5MaUcwDFNoC+S2u3Jm1fFc8b59AWTTfWclm33k30zeXZN5wiwC5JKyt+dCCqe1hqi3O0k
8/qtlrm+K3LbfCf+4JTrWrr+gwQ0ui4i3I/rJO8cLmCsKfA7E4sCbGuip9FS8n2Yk3ZaVYa2n+DK
Q37sIWNw1swZXifuDYMi9S2hX2cb5U6Az1Dp/t7yXFSvKjaP5DGzT1cH/rQqayFh9RnOdJO4BTdV
SHHVTxnX5vPyIDxaszv/jNxhqDbeILIn+t/duykfl6u70RPra/Nm7TrmwO/JNr7JpGe+WRbdPvvO
Hgtn42dZcG1ZbneaWCPuAzpUf+RRSkwKJsv0ktK03q40S/PBUimGlsQKrJ+QuTipE/Yk3qdTqR47
v0A77QhlrkGRhBS1hMW7wtP0Q9IsVYGRgQUjYtXLdeUXwJyxLl4cGbaoCHM878aqBeVN5GVlk0xB
HxQNFFKegYZ2kh2lPBwfod00J6oVa5gpWaPA8ZvdfMjQM2uKEaNuqY7JhiUFgsitHBjcXiv1fSiz
eh+TpC9XfdzpB2hp8VYpqz7CRlFnS2XBfZjZ9hsFdumpEHPwzRj0AxmhEatqB1YAjF5yR/omzWHh
pvEKPV2ibFhhd6RCBgCHCVv0aCKAX1TqtVdZjb16RfdfdJM6o39NjlpI1gej443I7PluUDocDhI/
8wOH8uwx6kOA44kxbPs+dM/0Hos7uu2GU0yrC24vSmLjtMu53wFu3Kbp6N/kxTQd+pIUGMKswfyn
g6+4ysQQG4gTrcJ6GNexs2YQURNRmeSTinR5F9ZJeJZtr06IBfn7qGv/HZkCxDY6AiQ2y2o+zbZ1
kWli+dibsbed7cLd4jLziI421fcwCId3v0poAwNDRgg0NdIa2a4fmoOa4NmuYkoZ6pVZ/ISb1qTU
RroeeeaW2xqVStNGOto5QkgsL8mQWgRVl3d0sgCMuoMD8gOn1zGigucOPo/BrAH+fbUDSsd+61V+
fe2jny8UHicHWz70A+XKGZ7oKJcByLwJB3Dv5N2NmXZ0WpWenWLEzl3KbmM7QauNp7uGLC07e6Ob
u6J0c+D/pa/RPxJswSmNhReukCRsVK/Sa6LGIRG4vDxFjoYcZFuJ/HSRSvTKoJ9JrAPLis9kBAd/
J2UvnpSbxc/s2XhEIVHhOnP9sv9WOIZzzjIPex9hySc/wupAnRbylYcdnIIF2RnnLA5mcYx7XTwC
urTwIMPHOc+1IexzVEzWS1kJaNTILMdYK1WtHF0wUMa2f25LV96PwpMn249SOjwEcEUvJMVVzsPt
XGjeEJ9Fd2W4bfvi+HX5M/L6+UUMjdpnDGuOeva4Hcxece8HtX1xG4iRVEdrtdjlIzgSA4FbJH0b
1ByTFaoZoSpeZ0GdvpSM4cn88Z7tA+rPEF+0n138qfPe/Jmx1hirV4HVZz+pdNxIw+ZxDm2y301l
Pxq4644RSg+2dqw0tCMjqjwlqoUTX5Ei2lMXmr0VoRieJUtnBaKpqQCXmkAt25nmCQCoI7GOLDqp
uOyO02R4S7Oa2geBsYvxbdcrI0kgG8VD/22SeFdXcWqrNepY+uZNi1WXi6l3aALhXVvog5Igr+h/
BI4GKUkdRsPBaCuqGBqOpZcYjnfA2Z8Sckuds9l6jzAImv3g9wyX+uqlsbNm39tNC/u991ixkt4R
+9HQWMDLLMweYh6Tl3oUpDIpYD4w7uvzrWmZ8b2c/X48MQQAkF52ZF62aDn2q6/b6aNyPRnDoI6R
4oYMTg3bT6A7JjcVWCBaFrDghhnVi3zMM5jKztEs21X2Ftdq4E30EW4myfa5Dxbtdo669Db5EnT9
RdstJ8O4Vci9pPjc23BRgOMvMRg/v3Xs7IGM7pdYXC26cbUoyO2iJSeLqpyQANyFIuLiHPfW42Af
A95ysAUB0F7tXOlcEEIWg70d8obOUl8w5Sui/JibAgEXleNWe221MZR57UJDulYclVd1I4a7YBHB
00UOpxkcZbw12WNXw5di7taDu+kXGb1bBHWTLtRLWOcUkhp6kd1zxpBXzcxhEQ6+o56dL4l+/pLr
5VQY5K85ICKYN8rbWIu2X7PWsYNNzn3lUiO7WSzTwKfrIutXgeH5kFyWSQGmVv96YEB1G34NEhid
wA3upxEC0DJp0MqEQJyp6QLTnEGEXfTqWavSuWOxIwaZ1yJ64wssdtY0FByhv8YZy2DDXUYcVeow
eOJ1yg3FZ95J8ov/9FVP7CcaQpeqSc6bx2LIGZ1kX2MUKuw18MdlumJ9DVryrLIKVs3JNDadhkS+
CpkacH2nS5XBchjilus0hRzwmhyJHmIb7xQ26IcC/A0oJ87smwqB4WZ2s+4NfNdUbep+Kq46z13X
8O9I64MuR/2xe3HjaZW96XTkhhYhvuQ3uoiEhe5VZ87GiWxmM3BKA+Zj/Yj1XsC+tw5jRekw3wif
+Ugv/ZcAACM1HG6AyS5FyaMAj+5L8LaZDXSOiLRgojObL1pTPblvlfDO/jSQLEpkGD+VhpdPmJab
qdtRX2z/1A31tvuKusdpF4gWxzhOH3g1FPjq6Ka1bK4cWQa1mlCqObPpgc5lr5ru+c4A4QaASmYp
mjlrsPqf26g/NF1enEcMlS8sS869KtkO4iTwz0U/tQ8jnAEKNbP5ZZhD12BsF4+ko8uEwrVIZFSf
1wpW9n8kkv+lRIJy4CzlWX8tkTz+AHwTvhfvfzCfKfP3n/xNIjF/saRUID4Vfx9hFNw2v7nP3F9I
POLcIZX45fX5RyrS9LH1EpjEfuYsAob3D5HEdEhFYhFaUhFko1BJ/o7Zh7/xzyKJ41im4pBkwtrB
rLsgtv8pFRmnXJyshG4BLdp7hU/3kLcjt0nEhZ1v5MOPBEIjTDXfP2CemNbumMGuBXVxUDMSgQ8S
XGx7tdSmZ+bg3Gk1oI3MQXEkbkW/eZaOIBNCdWV5IZTSwOcIxgDgswEVtZuzMaH7mdP5B4wDoa+S
xRe1apYdXTlm9NxCDb+qywbeXocQG6waLntnl26/I2MYxi5j6PjZIUkE811IJ1wRbK4lTjF8D+K5
2U5YhLx06F8VY7O1U1YSnJqp4pnV1LUPLMwxI7y5Std5YzdHWjQSRkcEAdYF29oMxWuEFk3TjFEA
mAwZkI42VeZExStoDQYoji7w4mI/okE9Mdhj0CLoKgMTE7fHyk+CxwUBgO8FDMgENUJF1xMWFqa3
xkgzO66L+AZgZP/cFE6cbsl1i/MomKn0w3RtTmZ/iE09fC8Fk0TOoYgZOtP6pk1HWsLpfAJWn5nO
cyAG69JalvEYpa54NcqCRjRluf1xqvvhricTs22sMPz0JpSmdajG5YUzga5SXnsX4aUoveZQdrK8
iCyGX8THXHyornKOeH9J3Pek8XiRnu9iJYrKfYp5+0bmfsDZ0p2mDTIOp0HPoMArdFS8x5CF2DaZ
zdGGUbThEAmkUQviEBINnyzmfTfGxmpIwh58Uj0Xl9xwEswLTLDew6hOTgMc3iseqC4hOedVBtO6
3t5yBHEJQPmbftQlVgGzZw/jOu4aefxc4RnYzCNQO7pZs3vDcHNoMwAnoYiE+5J0DQrRYN3ghhDb
zEvCA7q1OPOJgjc2dL3L51R8q+d5PkU2TQ4ll6SrKeFBbcrB/WjTYtwJa9THtMSVlBfeY10PeN2a
EkBAF91yc0JQ49j5xLSbTobOs99js5vOFP7aazAIlM8xrULQ0i8Mat5y5jwr0x05OdU9bKO+C1cF
jiJ7S5Y6fsgpbWnG5LbiPNVFzgl8dOhSm5YW7CDd6FFk31XdASgEjCEhZequaEaPH/keuFfazNU9
GV1VHEQ7Jqcsop5Nu4LjZJuU6aa0TMvb84fieFWNVk4TQJNND5Lp5wGOg3MtePtwyjBAYNvyY5rI
LVxYeans5yLx7Gsn96yDyRQYonReBohc1P6IPqt2zcAcidq8QH+ILCeu2nWe/+gWZrVOWk59q1Dh
DCIDqqZbok8w4mtQUEtlOPiImUL2Cn4D1Oc2jO9HzwOOMEywNi2OKG9VnFTXcWwPp0kUznVKa0vD
tbKf+ZtIZGZ9Z977snYprqqBZkJD7B89f5RPXe4OBzWM04efxfnjRDVNc8A2Z3/wfMc/I9VbFrgt
erHgRMno3STKlxHD82BzBpHr3iQ2brhJ5NIhP5db9S4tk3o/hHVbYGIJon3VpcUNeTzrsc9BsQSN
Ix/SXFsXUhCSFwmI7zaKqbTZSFWbW8EJ3t53JKBv5iEx7/omVNCbaHxpoyr/nvAI86kGlnzWpW4v
xMatbWDO9cGzVEypRuZdF0UOLyprJq7mrhWIswoq8+DXED8cs08uyHQp7nUH1W/VgCB/NBxFL7Sr
Mui2tNleu8B577wmFPe2HNGBKjApEbUBg/sUZrmw1l01Nd8HLnkMnIReu4Iy5nXj1Euk4pRQ0MR3
PinrdsXIutkGRplClxlqvSUVGp0skUXI38U1Ob8WBwAWMmbKC33cb83D6Jn5nUootXb44m61yON9
w/+tzGEuHnRv4fTQMdnv2L+B6B9epWPOyNjy4ysGrQAuJUTMumn7c6hyeXAxO36kM3pk35NFT4qg
3aN+uWcdTHyGGAAvgV8DC6bcec1aVJyROJJ5XTrdsHXz/MPUWUnRjIH0ahfqhX7wnfK6l0Rxs+Sr
Hx1N5mVRLaONkaT9p13i8dKVu1XamNZRZsIAKakIzKz6FBt2vXc6Bz6rGd9wI3Vp61HGnUkA/zBh
X4X8HZyWtnPyBGoUW8YK/03dmTW3jWXZ+q9k1MN9ajgwD9FRN6I5i5ooatYLgpowTwc4mH79/SDZ
lZYrMzurVF3tq6dMywZJEDjYZ++1vjXcoU+jS+FrgbjQfQYriyBQyqUw9cWYp1dj5vSrzGphb4Xl
XarSEkpLhAG2iB5jpe3SrU4uMN0kT8JQDuBE4a4f+1Xjm+1eI9flFEMsAHq4KmdC148d13qQfbkx
GfPN8poNZ93XEi4ojj630E80wAjurAjJLJjZgl0/ON8CEYwj42MdECdyrXIcyDiCGrWOQpX/lIWZ
rbEUbkXiy3gOGa0aFmOIFhpFejNkkJS6ctOK9JANabYl90TeG2lZe3M/HGBQDU27RiTJ5BMCbrWv
Gna6Y9W5hBOa7AuctpfHGe3rbIVtMljUAx3hUSrGS9YELREMWYut3CybkGJGCVLAxjJCtVHWPAci
vS56dqjIimkhxvZTjlX/nNDh7jxKQjp6OZYcp+Mh5nlyYPeunxaFe87HomkYWKDjjFolOdT3GjzM
gFD6G98Pnz0u9/vRsheUPadWSIINjtdpdOxX+8hmRw07PzPmoqfczwGrYHrC6BTDcr9XAiinAS3z
LbMINgcU8dD7uwY/oyfwE7mJ9VgzWXkIeOFZoMHqdz0D+02mOAxlSnFdOMxVAzslcsqpt7bI5K6M
/eBmmg+AB+6sV0N10ruuNcsV7XOCo9wUYcwmbeAGdblnMVjFtu/y4Vt1hkIl3/EM6NYklrRnrkW4
qU5BdgN3Ptn2tdJvK50cG6OqcLtnVsMDybFOxjYn+4bmAQ5xepgzy2vGJ72y1A3boXphWKO/qjNY
VVg4rTXJ8uuxSa5p1bBlsaKFY3Vwp0Eh6rW1cFS2b26f0/BzoYbLTsAswwtlFVyKSW8vdRVKBQsx
9OUOLIWtLGx9uFCMytgWBX2BpBysTURU6QHjcDmvTUoKq86g0Li5uiqbCH3IqOOrEEj57FHRTkhU
6VZZWfunyNVp3Qw+oStpjkHUFwSKG/pZ0MpjXR9eSWGhhdnymOrnTMasZ0lQojlaAz1ISq0zD031
KscYddyMQbiGLT5TazqeE06hvWp80VwPJoygPurbVacxvAkQfUJBqknZtOMFjK98VncBdFkShtj5
lt6KXmMPpdvo7/lH7UmUOeMjbKd+6SOlW5kAHk7UMjFuOd8T48KWeTLHIeXg+ibT0SL+cpNHZghR
z3EuypZnuS9LIgcqPznXLQd6oj/6F3gIXfoneXLShgq49ZAOwY471IPrV4bihH1IdpEHuvUyqj3i
9MbPz41e184sqdtbKVLrxQt979QGzDeLujC6NDCi4y63TRjmVR4BLMuaU5bN9Kgak25RV85TIFtv
4+RxugjMWJ41GAjvTbMh6IOZIXNaHvTURUZcnpYwHan8IyM6KrKgxm9mlQOrRxPNsD/nJHIWcuMJ
xwb06wx7rOyApWCVb4vI8QF3evnW6PHodwYZ6D0wlMJ2/J2KBfGeyMxqYzhkWA2JsTYENfgQxBX8
KltbZoLY2yHUijPhECg1K/0AMrmhLXOINQvp2RGy3MS6RQ2Pdg+y8HklWfCoH4u7MI+sB2YbyVYD
Nwa+ojZPXK0pHURlkj59HQXhBaMDlLXSJrCkHPsnn0EP3CSee76r88pD3a5qh+d4Dx/juHCqa7tp
gTorPlUmMT4LSUEkREBuZrLG6F0eaRlU0hZbBU9UZJEGJe9CtSSMYVVZqIhcmAj6UEXL7imKOnmV
eGW2jUU3cFm37ZFhadrW6WW61OtEXfRZ4m86+OieOo08qjQ+ctLnDg75c+CWqDkLDkUJq87ULhVP
gxIOxykgbUaFMC9WOokUKKw7dYl9r1jlY8fpMzvzXLFcUgPCROw6SXcKMGL5iB63OiMRCIafjogQ
NA3Iaw3CPe4/ZdM4QwORWCXdK4iGS9+PauqFOD0wjhz5KCWoblB5T2zGdOTqQlvEPvnGrddU16i5
uj3aFlq7VW5o97lTKA+Z48kVoJpyY/WI4wmpSksPw0PGpqdxtZ3AU0nYLRNUNyGbp/W8ZOXi4mSM
3RX2yE6ujeZlzfdlQRe5G/K+48rq7HUxJfLkvjw1aCbaCEKdAsm1LVHPtpH76lHww9g66XOP40M4
69ucRjU8LspTdZvYULWQWr/gBt90gXflTkJpW2ujXcQjEf9+Pmxq1wlWgylIEDOK5ijhU94j6GsP
4DTE0oNPeIPM2zsphsJ/UqiZJr9+TjKfsLw1X4+59LLWOTXGtDzBq5PdO64vqY0s66hQKWmloaDL
AqKmLAE5RurGG61eoHJQ+pMqz1niwRx4a53ENQYkBaJN0nDdlS9i9wkbCFwGv2aYMqS+8+DZig2E
W3WTm5ISaVl6g3fWdGN6VxHksx4wsW+g/PYHm3Ytz46EAN9UTq04YA4XgaJAzLDG/kKp666eETXY
zj00JNDknfFopFOx9zLwmMHgR2u0Z+UdIZGkNI+1ceQMZra0k06cMqZTJcOO0l5KpAsozKriorEY
YlGxtOIFTGp7peSg4mcQnepT2yrsZScHEhWTQXfv09qo1kgzXqMk97ZmGPrIvOCw7dxgylNOjeiG
hYM+nFrLcFEqliT1d9S3ArD6ShmG7A7WLZUrvc5dzu0+C5u0OPNFa52laJwYotTjsChCOq7AgPR6
lzhNeU5xjbHDCIphI2KdpabiIboPcPbDJg6tFOBM5q4TbRSXcUkNi16dAWKGD3LhsYs50QMtmFcp
qWu2qtAIBbIzH+okuDFjN1ozgDdcgChtfNTlNlkZdTduM8qzLRr/7q4dDWBTVKEXUu94moyxcZPh
D9p6rRY/Bo7kWeR345k1WuDciEcIToQJQCOvW8BXGiZhK06tI7VscaSMFYEJmKBs69CaSoi2PDHU
AylBSUXzYOxvmaE59Fpir6bxAOEA8J1XSFL7am1pFC673cpXxhX6eXSkORvnsPfLm9aprOVYmmwM
XECRg6sX50iOXEZkiUOjHEm8JltrgcIvI1d2oMSKJyrRDJ5ye0d0BCxnNQ7PfXxra1FrI4FFXWLf
j5oPRx6kD0JzNz1WyOc4zqLYgWwuzWrpVH68izFu89W6h7KjAxLGynqkabVSB/bgfA5trlfoGekx
277L6pp0SkJAxdR70ACvbsjm0xZCSbNrI1UxBTMVbJf52NiP+EPCRc9MB4xhYhN47CgVKCpDK32V
AON8zqemvCVh8DLy4/Q0Mi3erN6TD96bmJ3/vf3fn9BX7JgIj3R4CDriTJoiSA/+qMl7cng+JB/s
xb95gK+9XugJUBUMxi+o2+jS/o2AB6eBNqsKcAHsmqHpv7Z6DeeL6rDXUg1Tc76y8b7q4YwpJ8hB
Xkc54aFoxhj/DwDwqM8/tHox/QGCwMf/5q//rsVrpg1p6kkTbtLOyVaSNw+JAM22N3dL1pSZgavz
2FFyl6Vf1Fu1sZxtgeoZXbLdYCQpR2aCuTtY2YK2oLixFF+e1Z473OBh8Exkp25O1yfJQF9FXeXt
YYjXF06imv3ciTN3AnyNCJ9nJRtaMS9bzV/WhkpUQB1XevAIJkcpMSoU5mlNU36LNa87tP6QP1LF
WqCozLike5eLbDZapLDN07Ymc6wbbPtBDISsUeh4/bAe0GNByaSdWh3Bm+QurgbmRQsJIKfaxq4d
XfTsWII5hIjqygKfecm4qcfcJYGx9YOw7/UhyXZ9rw0KT2adp42IQTCtmOqGBKJZoXpfxVSKjJJR
+869pHH2fR4RC2jFRvsUW+yRvDgztxpMtD0z+ZyQwki/1K1Y3kKbs3aZEmZ7J4NWoDSmt2FqPa5b
tUckx4PSP2mRMYKLQnFi0KSlUdQp7qqV7OxmgS7DJw+JXbhR0pr4w1S3W0kB2o3HpWIbrx0biEvS
c8eXqMsyBopBWd0DkzLP2dCC2gjrmC1NZsbBtWOmLbpxmTW7kFi3MyClpA0hGSOeUAZDu07SKMAv
GrTdNbpL5QZebYhssHPUa1dqRMd4NqH1y0hJoUTbof4Ya12Fc8EFva43CRFoaoDvMbenJw/PZGeZ
lUyymMU3JxCHyA6uDJFvHLQy9ZGZQQxDRJ43D5mZKCSVMzt8CTK/v7LaAoRzzY5DI/VPceeOL4mJ
LAV5P6go03TReCYBNFVce+eo5dNqiQcEByvzaKhxg5IWdItGpwf/NFSFuYxbvF0r5F/OS47UCIV0
Wln+vIzzclzalU7uh+JlccHeFHvnaKbhnToF9WEC6vGdWT3cPe4aAG5YLrOO5qsj4dT6opfziCR1
zl8LXH8OYisHG49qfm8BaxacfTu4oxvov7KxcYatSHX/JfHtZuPGldSeyrRlas0OWmvXRuazeeS1
mmKFUCIsdi1IphPpkTyF4yllp9119ZO0wx4+bSnzhRpl/H+t18qJpkRkarYSiIpZjGO8Y7Zoy5nZ
+9ZR3A3ZdUXf8XnAOnePmNt3ZwLvTLnII6yXmlpYq1hVEhMXZt4dlSEI2FkY2w4eKwXB7kLPqxSC
b4HHhKo4kKvBY1sxC8fBffFaYeuLpPZwGjqpRdJA3zgXqvTrI4BqNVr4TPaXSurVj56w6ts4DtUz
MouhdGFBAIsU9ja9COG1F9Os+LYTljUTVlccj6NWrdqUdJNl78ZTKFXrt0tqHbaAeIUxfNK+4VwA
5icbKkYlAY05Oc61xAqXdmzXxiyGm32EvQGbp+YbMDe5KjG9qV2BNYHJPTsgx6aXV7RPYOKoWrRY
Ys9ohhHBFd62PQ60kN6bX5Q+GfFDvyZmy1prZaoekVGGHlfna7wXXjI+N0od0KtoVCSWWaOcSicM
Tj2ElsDqC9PZd1kZXbatgmie/ZJ2pHb2uDGJp9pHbtee14GOZ1XvcoVEJJnfFUXoLNsRV3MNEfOq
kSw5eGeDcRUnXYqy1SujJaYm1D4kOcQPedQV53EqrGVdoamJvb4/ImNpfJ5KWnc+hJiY4QxSEaJB
GvjuZVKGECe7oLwvybi4hz+hEyrEhKCgrHDEjDW8uebbYVKhwlo7x7hLxCe6nmGrWD2VeYfjDHUy
vWAidhRc9WptdCXXalw8EoRjXzUm21zsKZLgVFok8YNWmOUdIXG0KatKTNZwaaKvNu1RD0kJi7Ff
NY4YmSSVanlTx9Dh9rqLwZOvxGDRCVSzWhhKrurHYTyo3aLl9I+kazdTSkY5EPimp51hHgl1qLFh
VqU4RQroI0LLvSFZOIHunYnKSR/7MAhfQ0UUi7JWmZ6gw2X7k6IPnpGjRLAHBR+WyaBwlqR6M2oJ
4HzRNqVzv1AKgtzNtiLewAD+t5Vdi4/TatMM/lzRFHS+dXaRpGchwnT9fteVlTEuFKLN1m0Wqkca
iHkA9DI15z39sX5VGUZ8Ygh65XO9aIyNiil53ZLJLXvol2FRF+VMIEQ+GeKyXMosy0mUrUxgtpWd
xQQZJzk+Q+O469ngz8CYT8xM3uFFSc/71kjdbovLmNZ+MDTWpK5EQjwrOjUCDOsUW24bq7jNkknG
ZDb1xrHddVOnKAsGRM2pi9e+sSeSUVJ5JIzmXroNjY70EC0WNNej2rdULLvM86Zu/1poyE77C10D
n+2qGExSngY8qHE8pjRcj8ny7cme8N25mdfNno1z+2ry8FkT/WNsmfgcHNHZixF/8GZEIbbRm7q+
NnrL2NAedbh1U1QS7NjNFzDgZHcXaevtpKYZK2LBJUhaxy23mt+wFRwiCbeHCcrMQItN9koU9yej
UTWA0wsVoqGfnKYWC/ky7nIcsFrP3mtuupqCOs3W/GQetoq2ruPBi8m6r5KjMaqLvR6b6bbnUjtx
3QY5nReZxzKUboUrVdZ3hMZ6+BVz98mmtZgT4GJW52aWuntSuNDJN01O1FTpM2XrFf3Z44JZ+LWW
X1QxfYkqHSNzidDI3KhWU16rOXQhtJgjbqUKRgLj3ilJJhnrWWQHKsPE2DnLMas/kSIIeIq+cjG3
RVNO9ChrPjYVVlPcqU99oJU7u7H701zEMIW7JA7Oaqt22HA5IVYA/P+krJZGQ82lOw/ZaMTDvJBp
f22bEQNhC3nQix9WIewqhQwXWdJkTzPuwlnHWIIHKHSN+9YcHAg1MO0V06DHXKl+cO+oeAdmQdT2
D4odKg+JNMEzxk0MNAt79Dp0S+ccB6ix9foueeX9ih0UUSZ3o6SBO5ZDTXnGuHIi47kNUOQOBnNc
dxaKqgC06cwGTXXhBsJdwX7obgCOwuiq8uzg6TalBk6IjuF77XfNjLZsLtiuGcGar6o70YKgYXWI
fHERCQNUb1Ha0JibMWWlAirRpMsSbXe0dWJFFmvZoOc/go6nBkDhgZOsUi3UzuqyNG91pyMMVq/V
ZFhFbTYNuoUbGDS3hHscMcrNSLXv62bRMkImem9UkUZJdo7MQ4ZO3HdNJOKFYLZSzKMx9U8ZKIBz
pXERHnGFeMyu0PgyLXd4qHWWq9Hmcjj/JBbQd8W7KtEtZumNaYbVnvZdncwE+6F9PJjMz7UWva+u
OsdRbbnnWi/Vl4i+QTrjKsj1Jc/daaqoS3bfCZvpS4xtEQ7sgZJg1ok6zEk3G2mcagpbmJ1rZa2/
6lrL3DipXjCaT0wGCylJvMYCx0TTnuoRUkJ6cFkQzHuvcNY24sZ9mupltRi9zh1nhZear3GGrGKR
e4p27VnKgKtbUZ9dN5USdTSNHZBc+A8pVmkTMwCv+hJcSQzQo27COUPg4FUPimjfjMQOD16pIfCI
avy2phstR6cQF9LNa1RXgiUqJ954NVC1xcBryK4jr95lnZKJC3i39g9eV+l7NafEWFL1espcZJ6V
LvvS7qe49lR5Ba49UqNJceTR3gGu0GKzUPy8XwrH4DYxeS4vuLIJTapitTgYXlXqO7b36dJv7X7G
//W7Qk2x9eZl0REwXQoC5biq9DnMnHCH0tc8MhKXJHpEIGKSzJI2n7Z6RcySMeUVOhwyuI4jk/ek
MRe6KTvHrReV56evRRrpexg0zChIorEX6GnJYY2VcYGvji9Z9DRXDdEsbd8gyokJPGSBIcBGEeS0
4uVIXKBfRok1s9SgPISpIo6TfkSn32vjuFEajOCDSZTBmoRBpz9FP6SQddFyFDdEhx0wxWJLxp5T
XzeG9LdkD9ApTj2K5pHgpT1P7hLKix55xyRS58RVqEk5I8XdWKtgIqCJE68IsaVfBkKvlraOdWCW
x3T/zBhMC+mLcukVSH7kUMtT3rS5hemi3lEHVEscixA/iDZUuGnSAgE40w4oz1UKKifA6RwnkiRZ
CcIuM9KiJgY7rWYYX6ML/EfpUiu9kCBO17OOp7n/kgrOX+q2/0id6q1V7sllIRuGQHBpH3SRNY+D
qlrkUkeavwgGPWF0VzgXwajViHHNDFFLoaTrUckyMqGa/opw2B2+WnJ7mJRfWNGka9F7B8WBbfVb
F+3OxizT4BgtZ8J5tyMSIEnRBn0YWesiUfXbSoyI4YuosKcKHUEW01ZcqM67sTyIqWaTSH20WGI2
EWUpWR19XJ8iHSLnvCXzUYqWjEtdieIGa8mYHhUAFKIZc/jiipgrd0UJZ+9s8tIvzRGprsO4e1fU
2P07nLu4VWO7vaqUMqBp7+r6kR247hJJS3jFreffh7YOwIkGM/4RL4hYXRj7MCTPQfcCZEEj4If2
rsUMKmYVWg8IALaanFqKITchHuOzSB97F7RqHJ+LtAoGenYkTQH6cY78LBiwG8m4ucSYHV3LVLY7
TwmsJ+5dbachE3qpAM+siIL3s5mtDyBzlM7UbvWmoKrXkvjIquz41FGRyMzUll5G1rBeQSxhRijd
jFzunJauzLNs7bsVwlFP6Y/00i4XyEP6YyXlwyYOB0G+m4MkagJaxxaGh1vBoy7k1ap0papQTSK1
SS99PXWvmlAS8zvIUmeoEnb2qkrich4aes/EGZXGfKpcrDlpovmVlmnxyjbbeFeY+qvDZpCnMrjq
etFjeTgZzN6BjmmKZZskSOvT3uxubB7KfJdjRVNetkXznJj9MP8PNudp6edGujEGi4omFX2/UO24
QAo8hCRE8UiRi9SL0Xn8j3QR/z/iwTkmvD4baIduahYiTm3C9v2+UnRxeBaHN5zrFJcoftkc2pc0
+uW/Jr7r75Fef/Ml3tuMjkGeoqOTvGKSZOHwNv4mKVWBvpIgbjmGg/v2DXX4jR8H0dCk8+jxC942
DdBffbfqF5y6ZPhpfJzpkP9Qfrhm/Cgpnbh2OKawFMB8YP71Az+O7RKyPrzsS7+7lkNx6l1pq2AV
ooIAc818f8KZrtR6b1yT8AoRfCRjtIpWUXbr980iom/ntiZEqOyBin6RhCTO1DOprBwX4wNFhV9n
R6H7OPR0b0oyxGV0K7sHSqGlQg+P1LvLSanW6QO8ebEylC2BqgKo2ca3r1rm+c+Q7CEcnQy4VfPu
tBBy7tuvNKvmCZh21ghY1+DbyEv0oEyzPC4GkGlpOKyzqRS0afX0eH3Y3nD7iBVp2MFUGZ/14QNF
GRV+96h6+XXdqBdZNYYLSj0XxfdQLmv8tWb+1KTnttuywoDqYOOE55LVM6UmhobeOfoOSNJlkMLu
MgQjBX0zOVqITkiBZpwYvRbPKS/Pa4n5qQoQxkLFtWN1l0LH6MuYh6JRvFh4L9Gwmvcqswm+pmVb
QIX28Nf53cqsEwaIw1wQhhzbYoG27NSIml1jGyS9GU+JY+/6gveKB8FCFKbf9HgqC0YwKD6XgYmo
HQUg9iib3QewlgByWLQLspIdPnKGqdQ6q2o80f3pd7fNb7JoUWB/JApz36msx44G8tihn87vv+tl
J61aw4lTvGU/ZteiUQDHm/Wub60NK+nS0lU0gI69Ra+1TstzK+vXlmYeA06TC+jXUP3rSc/ne0d2
lG4SRcXB061EDEJH+sbOaAtSHK1Lw7QEtDyKKMxXVX6sSnMtyvwY96yG/YcH16yMxgsLeRv0BbIS
GGryFcLrejWFtbeSe2b0Kzwyc0JEV0GcrAItnFO3LqqOcpgcM4S0C7JiFoFQNjiod8ISq9Ywd4Pq
ndiMtHqoIF6frbOwuYrBmXNJrkeGj9qDTQeSrKktcv8ztaDvpBQBMy2HFoTHVQl+YVW2MHLzU6dK
1woRJyg1H7Nm2KSpugm6KaVMAXKbyPFk7Jul6/qHobRWBYHtGQecAbDlIaMNW5aLW10PiIa50oU4
FSA3aq27yvuHMbb641IfUELDmbivfIPY7RC0S2wsw1JbI6sE1GGbK832NnR6n5GNQHbKhvOA4DsY
/QXGUOrB46pjKmCPD398mehTlM+v2YDvS6fheAYuZeiu3o8Tj7Fg4Cy6nIjgInkJFHnrc/p8oT1U
7LPGVmzxxu3RwJyNsj0PakFjtJ9UpTMN9daqqRzCLr14gbyPzBfvPNQz1q5mX7sequ8GY1PYvpZW
/t9c3YyIfnjfILzpYaos4DxgNNVVP17dNZs0piMkz1eOcHCikacF6WrEG9xL5sQIbWiphXRkWBfL
wN4oGYtUpcmDjqOSxkoV0g50FLr4ourAnBBGeUwvb8k+cYNuT5/pNpKfqL1kYV0bab+LYnlZstMa
DeRZQn8OLPKVyaRmONwwkRbsjyOmOsJuCjqvLktjq7+qtDdmQdMoJ/QB0VKNQOnSstuHbbvD7Hxc
2gzIIzs/DQESoHj2Hkhi0GZG0l7ZWnreYlGdSat8heYSLi2jvOoa5dULjXTuRvarraSXtR3fEbyw
Fm2drizttaQjFKI88nLeQVAdoaaZjXAgm9C6AV2wNiBKzhzx2BGUMZAmUGTdklheTH2EmYZz9i+3
eckeOQo3JvZftGunqhLt6oanR6liMHOJCdFAVYUSwadornFFT52auzGproOoP5c6Mo122rQozcZA
A1sF6saq8ksr7DYqhjgCjp58tbxMiVGQOrg2upgithZ27O6CXD0inG3Xme6CAvAy03T2K5m9kKq3
9DSPua61CkJ1xVd/omqwptuOp0x0Sxt6Q29w2TgAteglFyeNPy6JMV1BqZunDlLZ+i4eLyc4OYLb
RSiPvTI5Qvp6KziF64FNDrMJUIN5tnaTcRlOe3phEAAbsolo7J1EmgmT6r7KCBuGWZVvdHL25qNh
0lCxneY2zpyLAuU6VWcFT5BhjFe2OzbMT1VqtnhUX9E9Ycfzbk26pgiAnyFpr6DB5hMo+yTnNmTD
VeyaKtnoI8OForxEJ7NPgvjY1MkbH317ViGimyugJ32lWTD5X9Vxt/CDOufJdBfrHdHf/SaTIThu
xhQzunnXRpjfBbV10gvjJiXFaGbZd9ZYXfWZbJZc1UeV77yOunHsQ1hedjWqi1QLjoceOYpsMCyI
wE2XljmeJAFPLbs4zyrKC0eoB7NmXwfFdV8YwyGpMEcksrmjp0rEF7SieeQNO2E21+3oblunpPOr
0n5PjhLdurEdEsgbrQcBGV9BnrqTujxW+/4x66GDKHm60FJjo3S4bFV1lxF6mVj+DWLGmSsI0TK9
vS2V0yC5RzOBuVjOPehtdRtdGPAYqdIRb5SvYwSFkjPW9x62sEn8F62LZiRPptr7ymOboDMa1Yee
CV6g9ytNek8xImLEg7BNLGvvey8Zm0bHW5rKmXDPSoR8xnku98hSd4KYFWlghTP27QByNnavs76G
+4BldGzmuY0RERKlHr8kEfmkHfuf+s7xrjqayeDeZkaKyClcaPq9DC6dIFvbrpi55sXEOg3qbo/H
hMtFwekDECmaJkcnKkQS1Drwc4dNZNOxd1YW2p0kmiCrNs+Hc617QqyKRsq4a6D52gP3daLfud4O
jwSApAt1onmxVt5Wvp7MZWQtguixq+tVJl/7uJhnpffYG0a68tr6kVT7TSSCDV7J57bDQMdgja1d
4REezejS8roFA99Z4xXuUUyHdaYAB1u4QXYTDYTH9vpgPitCZyKpuPgoHHfVkVsIjPYqDCpnMcba
lZco98Uw3BbJeDVi4Rj9xpmjtWVukzOToMWYLul/52jx2XS1Xf5UyHHtjs6G2dE0bMRt61JOwZCi
c0pOjFDLZYfPMYu7Q4PhVOKssTsfYwj2g9F2HrO23Xpd+OIO8gq0bjmvYh1fFHGYBTCAGW78ZOk7
mC8Avizilv47Q7BSoy8+mifkKr4mKl0RbR009hZDzEIrxGnSlay+5mlYWWfD0KzBuuoLEzDBChgd
Gecden7m/RGcYaEgtvUaqCDKMPuPcGSnS36Ntywtb5egImaEJK8iNbuD6YRfokBOHtT+3gi1Lecm
WsKimAJrYOgXDjlUTi4hn5FigyDKvvxXbUc/IVeZ/mnwUiwOzWH55jC8kC9i2L/UMm3qb6qN6be7
Isqbq+Kf+0t/fKBfXv6Ut9GwJjvhh93q25t6e8d/dIz00ESNfH7561907wsAfA0ty19+ISI3+PrH
jv3FMFUdv62rvv28v8535+b3Pv0ff7D30/jHf+eP3vj7eTl6/utfNIIkP/nZMWA6FpYZkHK4MKef
j+cA66Zt0Rbw6PpNP9R4nOt//zlgxcib6RIMoiL/YFGdorL/zNf/wxG++/oRJlk6UJGpup5+aEB8
fxl4U4gMmgDDev/1u8Lq338KDs8Z0V1R3YjoqflwClRaN2Qv/Lnz8MNhvjsP7hebIp4tqf3+QekC
fX8enC+ahmoL19j7pfDT3Q6TJOyz54B73gLl5nFDvP98OAee/sXVHbplU5LA9PO/dTv88CX+uiQY
ns7l+2fuhx8O8d11QIgtbS4iZYi/nX4+Xgcuv1Y91DFTPtL/ylrwwzv/9cM7ngou6rP3AUsiN7zO
mfzNa8Axv6gWg1Vbh+03/fDU+PlOg258+jLQv9gMkAl0ev+YPz4ZtC+W5zD/QXz/9vPzLYu2PsWK
fOpe0EiB1lRTJ8rmt+4FSoQJbMCd8rOuBzStJ93u506C+sUEp+A4Dkf6/olgk/zi6uS0fH1g/HQL
Ai4r/bPVIfQKsBXqhKn4vUtAxanIAOP956dbDqbhyp+skX5YWb97JthfoI6yKE6o07efj1cC4eYW
VYir0cyefn6+k0AL8tMnQf1iIbeHAjsRS6afDyfBNb+Yukv1QKTRT3oSCKf/7EkgMMw1dTYEOmvr
94uB9YV1wOWzf71Cfr7SaHqYfXYp1L6omq2ptOI/fnqXpdBRdTreP1s1YDAL5c1+6gmg219wmFi2
xid/+/mhJOTGgAEJ3OdnfQxiYtE++93r0yLHVhiDy4fv3gUb7VAQml8//D9SEP6JXeTf+i0kiaTP
y6kpEr3Uv9WQ+b2/8K3V8Pe//9pmeOslsI/+8BevhvLl/bXfC+zp///vhwfEWxvgu19+awu8vc7X
f/71A/79S394rW+f6tsfbqIXcRBP4fD2i+Hr2zw7ZHRr0BmE6A924vD8Uocf9sFv7ZBf39Bf//Lh
7X53D/zh8ev6kH1/2Pdt5WcPi4vxIL4/7PtO7bOH3RzE8CO0670l9ukjR9nhKTykv3mmCS5lm/XZ
l9geiKv75f8csvI/fzk+1MRxfDhDlNXTM/uzr3J8EDmtyuTw7VBvl/v75uDTx+Y6TX848FvB/dkD
nxySOjw8dy8v5Ye3PZnqvv3BdIv9c9f46eE5HH77HppMe59/gfPniLf/7TjTCdffC7DPnpedfJZP
4YsQw4eD28YU9Pv5g+fx4fHbcd7e9XvF9NkD7w/xAcHu4UPn8mtd/tljX0ZJEn1YsBAKTGXIZw98
dcii9Jezw7P8dqzpjBjvVdRnD37dNEjHfmMR/1qufPb4ty9188vsBaJh+uHdv9cBnz366YHFnAWr
ER+u8a/bzc8efS1jjv6hxTt1tt5aOp8+dvHhHf+tY/bZ4/JU/pv27yx6Kh75do9qkJLP9ffnn14J
Ce7/gkX9v6A9//7jCWG39qam+uzHOo3GQnwsBzi06ugebYXPHvwKpDUZqt8O9PZYej/4v+Du/W2V
5t+9FsrKb3/2zz9OJh3o9FV/O9LXT8JQwvgXnKbTiRItP1YGbxOPyev+2e/g9CX4fwK2cRIr0WMB
5HZg955S411SczIyYcYgggU0V0Ox0fD8BlzBDTMOyQpDmBj58UrwRnLcM7Tw7ia+pjYxd0xTaAW4
ngGeeYCeOqG3WFOhLUXwbiEKfUDwYF4KzSf2TAgKrcFeHpGzahyvQ7D1N+Hz1Zi9UNhcPDZtqF1s
kIrknNTEIjsAAAAA//8=</cx:binary>
              </cx:geoCache>
            </cx:geography>
          </cx:layoutPr>
          <cx:valueColors>
            <cx:minColor>
              <a:srgbClr val="FF0000"/>
            </cx:minColor>
            <cx:midColor>
              <a:srgbClr val="FFCC66"/>
            </cx:midColor>
            <cx:maxColor>
              <a:srgbClr val="00B050"/>
            </cx:maxColor>
          </cx:valueColors>
          <cx:valueColorPositions count="3"/>
        </cx:series>
      </cx:plotAreaRegion>
    </cx:plotArea>
  </cx:chart>
  <cx:spPr>
    <a:solidFill>
      <a:schemeClr val="lt1"/>
    </a:solidFill>
    <a:ln w="25400" cap="flat" cmpd="sng" algn="ctr">
      <a:solidFill>
        <a:schemeClr val="dk1"/>
      </a:solidFill>
      <a:prstDash val="solid"/>
    </a:ln>
    <a:effectLst/>
  </cx:spPr>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2.xml"/><Relationship Id="rId7" Type="http://schemas.openxmlformats.org/officeDocument/2006/relationships/image" Target="../media/image3.png"/><Relationship Id="rId12" Type="http://schemas.openxmlformats.org/officeDocument/2006/relationships/image" Target="../media/image8.svg"/><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3.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8</xdr:col>
      <xdr:colOff>68318</xdr:colOff>
      <xdr:row>0</xdr:row>
      <xdr:rowOff>107208</xdr:rowOff>
    </xdr:from>
    <xdr:to>
      <xdr:col>13</xdr:col>
      <xdr:colOff>19249</xdr:colOff>
      <xdr:row>3</xdr:row>
      <xdr:rowOff>0</xdr:rowOff>
    </xdr:to>
    <xdr:sp macro="" textlink="">
      <xdr:nvSpPr>
        <xdr:cNvPr id="2" name="Rectangle: Rounded Corners 1">
          <a:extLst>
            <a:ext uri="{FF2B5EF4-FFF2-40B4-BE49-F238E27FC236}">
              <a16:creationId xmlns:a16="http://schemas.microsoft.com/office/drawing/2014/main" id="{23404E74-72B1-1E4D-82F8-5992723C182B}"/>
            </a:ext>
          </a:extLst>
        </xdr:cNvPr>
        <xdr:cNvSpPr/>
      </xdr:nvSpPr>
      <xdr:spPr>
        <a:xfrm>
          <a:off x="4729656" y="107208"/>
          <a:ext cx="2993676" cy="497137"/>
        </a:xfrm>
        <a:custGeom>
          <a:avLst/>
          <a:gdLst>
            <a:gd name="connsiteX0" fmla="*/ 0 w 2974429"/>
            <a:gd name="connsiteY0" fmla="*/ 85486 h 512903"/>
            <a:gd name="connsiteX1" fmla="*/ 85486 w 2974429"/>
            <a:gd name="connsiteY1" fmla="*/ 0 h 512903"/>
            <a:gd name="connsiteX2" fmla="*/ 2888943 w 2974429"/>
            <a:gd name="connsiteY2" fmla="*/ 0 h 512903"/>
            <a:gd name="connsiteX3" fmla="*/ 2974429 w 2974429"/>
            <a:gd name="connsiteY3" fmla="*/ 85486 h 512903"/>
            <a:gd name="connsiteX4" fmla="*/ 2974429 w 2974429"/>
            <a:gd name="connsiteY4" fmla="*/ 427417 h 512903"/>
            <a:gd name="connsiteX5" fmla="*/ 2888943 w 2974429"/>
            <a:gd name="connsiteY5" fmla="*/ 512903 h 512903"/>
            <a:gd name="connsiteX6" fmla="*/ 85486 w 2974429"/>
            <a:gd name="connsiteY6" fmla="*/ 512903 h 512903"/>
            <a:gd name="connsiteX7" fmla="*/ 0 w 2974429"/>
            <a:gd name="connsiteY7" fmla="*/ 427417 h 512903"/>
            <a:gd name="connsiteX8" fmla="*/ 0 w 2974429"/>
            <a:gd name="connsiteY8" fmla="*/ 85486 h 512903"/>
            <a:gd name="connsiteX0" fmla="*/ 15961 w 2990390"/>
            <a:gd name="connsiteY0" fmla="*/ 85486 h 512903"/>
            <a:gd name="connsiteX1" fmla="*/ 22968 w 2990390"/>
            <a:gd name="connsiteY1" fmla="*/ 0 h 512903"/>
            <a:gd name="connsiteX2" fmla="*/ 2904904 w 2990390"/>
            <a:gd name="connsiteY2" fmla="*/ 0 h 512903"/>
            <a:gd name="connsiteX3" fmla="*/ 2990390 w 2990390"/>
            <a:gd name="connsiteY3" fmla="*/ 85486 h 512903"/>
            <a:gd name="connsiteX4" fmla="*/ 2990390 w 2990390"/>
            <a:gd name="connsiteY4" fmla="*/ 427417 h 512903"/>
            <a:gd name="connsiteX5" fmla="*/ 2904904 w 2990390"/>
            <a:gd name="connsiteY5" fmla="*/ 512903 h 512903"/>
            <a:gd name="connsiteX6" fmla="*/ 101447 w 2990390"/>
            <a:gd name="connsiteY6" fmla="*/ 512903 h 512903"/>
            <a:gd name="connsiteX7" fmla="*/ 15961 w 2990390"/>
            <a:gd name="connsiteY7" fmla="*/ 427417 h 512903"/>
            <a:gd name="connsiteX8" fmla="*/ 15961 w 2990390"/>
            <a:gd name="connsiteY8" fmla="*/ 85486 h 512903"/>
            <a:gd name="connsiteX0" fmla="*/ 15961 w 2990390"/>
            <a:gd name="connsiteY0" fmla="*/ 85486 h 512903"/>
            <a:gd name="connsiteX1" fmla="*/ 22968 w 2990390"/>
            <a:gd name="connsiteY1" fmla="*/ 0 h 512903"/>
            <a:gd name="connsiteX2" fmla="*/ 2904904 w 2990390"/>
            <a:gd name="connsiteY2" fmla="*/ 0 h 512903"/>
            <a:gd name="connsiteX3" fmla="*/ 2990390 w 2990390"/>
            <a:gd name="connsiteY3" fmla="*/ 85486 h 512903"/>
            <a:gd name="connsiteX4" fmla="*/ 2990390 w 2990390"/>
            <a:gd name="connsiteY4" fmla="*/ 427417 h 512903"/>
            <a:gd name="connsiteX5" fmla="*/ 2904904 w 2990390"/>
            <a:gd name="connsiteY5" fmla="*/ 512903 h 512903"/>
            <a:gd name="connsiteX6" fmla="*/ 70176 w 2990390"/>
            <a:gd name="connsiteY6" fmla="*/ 512903 h 512903"/>
            <a:gd name="connsiteX7" fmla="*/ 15961 w 2990390"/>
            <a:gd name="connsiteY7" fmla="*/ 427417 h 512903"/>
            <a:gd name="connsiteX8" fmla="*/ 15961 w 2990390"/>
            <a:gd name="connsiteY8" fmla="*/ 85486 h 512903"/>
            <a:gd name="connsiteX0" fmla="*/ 15961 w 3009637"/>
            <a:gd name="connsiteY0" fmla="*/ 85486 h 512903"/>
            <a:gd name="connsiteX1" fmla="*/ 22968 w 3009637"/>
            <a:gd name="connsiteY1" fmla="*/ 0 h 512903"/>
            <a:gd name="connsiteX2" fmla="*/ 2904904 w 3009637"/>
            <a:gd name="connsiteY2" fmla="*/ 0 h 512903"/>
            <a:gd name="connsiteX3" fmla="*/ 2990390 w 3009637"/>
            <a:gd name="connsiteY3" fmla="*/ 85486 h 512903"/>
            <a:gd name="connsiteX4" fmla="*/ 2990390 w 3009637"/>
            <a:gd name="connsiteY4" fmla="*/ 427417 h 512903"/>
            <a:gd name="connsiteX5" fmla="*/ 2988022 w 3009637"/>
            <a:gd name="connsiteY5" fmla="*/ 512903 h 512903"/>
            <a:gd name="connsiteX6" fmla="*/ 70176 w 3009637"/>
            <a:gd name="connsiteY6" fmla="*/ 512903 h 512903"/>
            <a:gd name="connsiteX7" fmla="*/ 15961 w 3009637"/>
            <a:gd name="connsiteY7" fmla="*/ 427417 h 512903"/>
            <a:gd name="connsiteX8" fmla="*/ 15961 w 3009637"/>
            <a:gd name="connsiteY8" fmla="*/ 85486 h 512903"/>
            <a:gd name="connsiteX0" fmla="*/ 15961 w 3009637"/>
            <a:gd name="connsiteY0" fmla="*/ 85486 h 512903"/>
            <a:gd name="connsiteX1" fmla="*/ 22968 w 3009637"/>
            <a:gd name="connsiteY1" fmla="*/ 0 h 512903"/>
            <a:gd name="connsiteX2" fmla="*/ 2988022 w 3009637"/>
            <a:gd name="connsiteY2" fmla="*/ 15766 h 512903"/>
            <a:gd name="connsiteX3" fmla="*/ 2990390 w 3009637"/>
            <a:gd name="connsiteY3" fmla="*/ 85486 h 512903"/>
            <a:gd name="connsiteX4" fmla="*/ 2990390 w 3009637"/>
            <a:gd name="connsiteY4" fmla="*/ 427417 h 512903"/>
            <a:gd name="connsiteX5" fmla="*/ 2988022 w 3009637"/>
            <a:gd name="connsiteY5" fmla="*/ 512903 h 512903"/>
            <a:gd name="connsiteX6" fmla="*/ 70176 w 3009637"/>
            <a:gd name="connsiteY6" fmla="*/ 512903 h 512903"/>
            <a:gd name="connsiteX7" fmla="*/ 15961 w 3009637"/>
            <a:gd name="connsiteY7" fmla="*/ 427417 h 512903"/>
            <a:gd name="connsiteX8" fmla="*/ 15961 w 3009637"/>
            <a:gd name="connsiteY8" fmla="*/ 85486 h 512903"/>
            <a:gd name="connsiteX0" fmla="*/ 0 w 2993676"/>
            <a:gd name="connsiteY0" fmla="*/ 85486 h 512903"/>
            <a:gd name="connsiteX1" fmla="*/ 54217 w 2993676"/>
            <a:gd name="connsiteY1" fmla="*/ 0 h 512903"/>
            <a:gd name="connsiteX2" fmla="*/ 2972061 w 2993676"/>
            <a:gd name="connsiteY2" fmla="*/ 15766 h 512903"/>
            <a:gd name="connsiteX3" fmla="*/ 2974429 w 2993676"/>
            <a:gd name="connsiteY3" fmla="*/ 85486 h 512903"/>
            <a:gd name="connsiteX4" fmla="*/ 2974429 w 2993676"/>
            <a:gd name="connsiteY4" fmla="*/ 427417 h 512903"/>
            <a:gd name="connsiteX5" fmla="*/ 2972061 w 2993676"/>
            <a:gd name="connsiteY5" fmla="*/ 512903 h 512903"/>
            <a:gd name="connsiteX6" fmla="*/ 54215 w 2993676"/>
            <a:gd name="connsiteY6" fmla="*/ 512903 h 512903"/>
            <a:gd name="connsiteX7" fmla="*/ 0 w 2993676"/>
            <a:gd name="connsiteY7" fmla="*/ 427417 h 512903"/>
            <a:gd name="connsiteX8" fmla="*/ 0 w 2993676"/>
            <a:gd name="connsiteY8" fmla="*/ 85486 h 512903"/>
            <a:gd name="connsiteX0" fmla="*/ 0 w 2993676"/>
            <a:gd name="connsiteY0" fmla="*/ 69720 h 497137"/>
            <a:gd name="connsiteX1" fmla="*/ 54216 w 2993676"/>
            <a:gd name="connsiteY1" fmla="*/ 0 h 497137"/>
            <a:gd name="connsiteX2" fmla="*/ 2972061 w 2993676"/>
            <a:gd name="connsiteY2" fmla="*/ 0 h 497137"/>
            <a:gd name="connsiteX3" fmla="*/ 2974429 w 2993676"/>
            <a:gd name="connsiteY3" fmla="*/ 69720 h 497137"/>
            <a:gd name="connsiteX4" fmla="*/ 2974429 w 2993676"/>
            <a:gd name="connsiteY4" fmla="*/ 411651 h 497137"/>
            <a:gd name="connsiteX5" fmla="*/ 2972061 w 2993676"/>
            <a:gd name="connsiteY5" fmla="*/ 497137 h 497137"/>
            <a:gd name="connsiteX6" fmla="*/ 54215 w 2993676"/>
            <a:gd name="connsiteY6" fmla="*/ 497137 h 497137"/>
            <a:gd name="connsiteX7" fmla="*/ 0 w 2993676"/>
            <a:gd name="connsiteY7" fmla="*/ 411651 h 497137"/>
            <a:gd name="connsiteX8" fmla="*/ 0 w 2993676"/>
            <a:gd name="connsiteY8" fmla="*/ 69720 h 49713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2993676" h="497137">
              <a:moveTo>
                <a:pt x="0" y="69720"/>
              </a:moveTo>
              <a:cubicBezTo>
                <a:pt x="0" y="22507"/>
                <a:pt x="7003" y="0"/>
                <a:pt x="54216" y="0"/>
              </a:cubicBezTo>
              <a:lnTo>
                <a:pt x="2972061" y="0"/>
              </a:lnTo>
              <a:cubicBezTo>
                <a:pt x="3019274" y="0"/>
                <a:pt x="2974429" y="22507"/>
                <a:pt x="2974429" y="69720"/>
              </a:cubicBezTo>
              <a:lnTo>
                <a:pt x="2974429" y="411651"/>
              </a:lnTo>
              <a:cubicBezTo>
                <a:pt x="2974429" y="458864"/>
                <a:pt x="3019274" y="497137"/>
                <a:pt x="2972061" y="497137"/>
              </a:cubicBezTo>
              <a:lnTo>
                <a:pt x="54215" y="497137"/>
              </a:lnTo>
              <a:cubicBezTo>
                <a:pt x="7002" y="497137"/>
                <a:pt x="0" y="458864"/>
                <a:pt x="0" y="411651"/>
              </a:cubicBezTo>
              <a:lnTo>
                <a:pt x="0" y="69720"/>
              </a:lnTo>
              <a:close/>
            </a:path>
          </a:pathLst>
        </a:custGeom>
        <a:gradFill flip="none" rotWithShape="1">
          <a:gsLst>
            <a:gs pos="0">
              <a:srgbClr val="002060">
                <a:tint val="66000"/>
                <a:satMod val="160000"/>
              </a:srgbClr>
            </a:gs>
            <a:gs pos="50000">
              <a:srgbClr val="002060">
                <a:tint val="44500"/>
                <a:satMod val="160000"/>
              </a:srgbClr>
            </a:gs>
            <a:gs pos="100000">
              <a:srgbClr val="002060">
                <a:tint val="23500"/>
                <a:satMod val="160000"/>
              </a:srgb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31531</xdr:colOff>
      <xdr:row>7</xdr:row>
      <xdr:rowOff>32232</xdr:rowOff>
    </xdr:from>
    <xdr:to>
      <xdr:col>5</xdr:col>
      <xdr:colOff>0</xdr:colOff>
      <xdr:row>19</xdr:row>
      <xdr:rowOff>0</xdr:rowOff>
    </xdr:to>
    <xdr:sp macro="" textlink="">
      <xdr:nvSpPr>
        <xdr:cNvPr id="10" name="Rectangle 9">
          <a:extLst>
            <a:ext uri="{FF2B5EF4-FFF2-40B4-BE49-F238E27FC236}">
              <a16:creationId xmlns:a16="http://schemas.microsoft.com/office/drawing/2014/main" id="{7368AE8F-1094-28AF-6ACE-20E0A4F6CA73}"/>
            </a:ext>
          </a:extLst>
        </xdr:cNvPr>
        <xdr:cNvSpPr/>
      </xdr:nvSpPr>
      <xdr:spPr>
        <a:xfrm>
          <a:off x="1250731" y="1319749"/>
          <a:ext cx="1886607" cy="217494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68316</xdr:colOff>
      <xdr:row>11</xdr:row>
      <xdr:rowOff>114916</xdr:rowOff>
    </xdr:from>
    <xdr:to>
      <xdr:col>12</xdr:col>
      <xdr:colOff>597337</xdr:colOff>
      <xdr:row>19</xdr:row>
      <xdr:rowOff>23126</xdr:rowOff>
    </xdr:to>
    <xdr:sp macro="" textlink="">
      <xdr:nvSpPr>
        <xdr:cNvPr id="12" name="Rectangle 11">
          <a:extLst>
            <a:ext uri="{FF2B5EF4-FFF2-40B4-BE49-F238E27FC236}">
              <a16:creationId xmlns:a16="http://schemas.microsoft.com/office/drawing/2014/main" id="{1FEA9913-EF90-7032-C069-F1CF9E50A89B}"/>
            </a:ext>
          </a:extLst>
        </xdr:cNvPr>
        <xdr:cNvSpPr/>
      </xdr:nvSpPr>
      <xdr:spPr>
        <a:xfrm>
          <a:off x="4729654" y="2264282"/>
          <a:ext cx="2967421" cy="1379658"/>
        </a:xfrm>
        <a:prstGeom prst="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68316</xdr:colOff>
      <xdr:row>3</xdr:row>
      <xdr:rowOff>89338</xdr:rowOff>
    </xdr:from>
    <xdr:to>
      <xdr:col>13</xdr:col>
      <xdr:colOff>1</xdr:colOff>
      <xdr:row>11</xdr:row>
      <xdr:rowOff>0</xdr:rowOff>
    </xdr:to>
    <xdr:sp macro="" textlink="">
      <xdr:nvSpPr>
        <xdr:cNvPr id="13" name="Rectangle 12">
          <a:extLst>
            <a:ext uri="{FF2B5EF4-FFF2-40B4-BE49-F238E27FC236}">
              <a16:creationId xmlns:a16="http://schemas.microsoft.com/office/drawing/2014/main" id="{9DE0BC4D-4BDC-3869-8740-7D2AE7B00426}"/>
            </a:ext>
          </a:extLst>
        </xdr:cNvPr>
        <xdr:cNvSpPr/>
      </xdr:nvSpPr>
      <xdr:spPr>
        <a:xfrm>
          <a:off x="4729654" y="693683"/>
          <a:ext cx="2974430" cy="145568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95311</xdr:colOff>
      <xdr:row>9</xdr:row>
      <xdr:rowOff>125426</xdr:rowOff>
    </xdr:from>
    <xdr:to>
      <xdr:col>8</xdr:col>
      <xdr:colOff>16886</xdr:colOff>
      <xdr:row>12</xdr:row>
      <xdr:rowOff>34685</xdr:rowOff>
    </xdr:to>
    <xdr:sp macro="" textlink="">
      <xdr:nvSpPr>
        <xdr:cNvPr id="14" name="Rectangle: Rounded Corners 13">
          <a:extLst>
            <a:ext uri="{FF2B5EF4-FFF2-40B4-BE49-F238E27FC236}">
              <a16:creationId xmlns:a16="http://schemas.microsoft.com/office/drawing/2014/main" id="{34F18C8F-2FFC-6056-4523-FB56D9CC2E6B}"/>
            </a:ext>
          </a:extLst>
        </xdr:cNvPr>
        <xdr:cNvSpPr/>
      </xdr:nvSpPr>
      <xdr:spPr>
        <a:xfrm>
          <a:off x="3400814" y="1906929"/>
          <a:ext cx="1393024" cy="461053"/>
        </a:xfrm>
        <a:prstGeom prst="roundRect">
          <a:avLst>
            <a:gd name="adj" fmla="val 9079"/>
          </a:avLst>
        </a:prstGeom>
        <a:gradFill flip="none" rotWithShape="1">
          <a:gsLst>
            <a:gs pos="0">
              <a:srgbClr val="10F0E5">
                <a:tint val="66000"/>
                <a:satMod val="160000"/>
              </a:srgbClr>
            </a:gs>
            <a:gs pos="50000">
              <a:srgbClr val="10F0E5">
                <a:tint val="44500"/>
                <a:satMod val="160000"/>
              </a:srgbClr>
            </a:gs>
            <a:gs pos="100000">
              <a:srgbClr val="10F0E5">
                <a:tint val="23500"/>
                <a:satMod val="160000"/>
              </a:srgb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95311</xdr:colOff>
      <xdr:row>12</xdr:row>
      <xdr:rowOff>79182</xdr:rowOff>
    </xdr:from>
    <xdr:to>
      <xdr:col>8</xdr:col>
      <xdr:colOff>16886</xdr:colOff>
      <xdr:row>19</xdr:row>
      <xdr:rowOff>23126</xdr:rowOff>
    </xdr:to>
    <xdr:sp macro="" textlink="">
      <xdr:nvSpPr>
        <xdr:cNvPr id="11" name="Rectangle 10">
          <a:extLst>
            <a:ext uri="{FF2B5EF4-FFF2-40B4-BE49-F238E27FC236}">
              <a16:creationId xmlns:a16="http://schemas.microsoft.com/office/drawing/2014/main" id="{12EF840A-8C4F-FB5A-CFF9-34C64B0D49B3}"/>
            </a:ext>
          </a:extLst>
        </xdr:cNvPr>
        <xdr:cNvSpPr/>
      </xdr:nvSpPr>
      <xdr:spPr>
        <a:xfrm>
          <a:off x="3400814" y="2412479"/>
          <a:ext cx="1393024" cy="123146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0</xdr:colOff>
      <xdr:row>12</xdr:row>
      <xdr:rowOff>96269</xdr:rowOff>
    </xdr:from>
    <xdr:to>
      <xdr:col>7</xdr:col>
      <xdr:colOff>585162</xdr:colOff>
      <xdr:row>19</xdr:row>
      <xdr:rowOff>6231</xdr:rowOff>
    </xdr:to>
    <xdr:graphicFrame macro="">
      <xdr:nvGraphicFramePr>
        <xdr:cNvPr id="5" name="Chart 4">
          <a:extLst>
            <a:ext uri="{FF2B5EF4-FFF2-40B4-BE49-F238E27FC236}">
              <a16:creationId xmlns:a16="http://schemas.microsoft.com/office/drawing/2014/main" id="{74F52BBC-5A93-4128-B4BD-8FBB1DE42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43283</xdr:colOff>
      <xdr:row>13</xdr:row>
      <xdr:rowOff>183930</xdr:rowOff>
    </xdr:from>
    <xdr:to>
      <xdr:col>1</xdr:col>
      <xdr:colOff>672662</xdr:colOff>
      <xdr:row>19</xdr:row>
      <xdr:rowOff>1050</xdr:rowOff>
    </xdr:to>
    <mc:AlternateContent xmlns:mc="http://schemas.openxmlformats.org/markup-compatibility/2006" xmlns:a14="http://schemas.microsoft.com/office/drawing/2010/main">
      <mc:Choice Requires="a14">
        <xdr:graphicFrame macro="">
          <xdr:nvGraphicFramePr>
            <xdr:cNvPr id="34" name="Category">
              <a:extLst>
                <a:ext uri="{FF2B5EF4-FFF2-40B4-BE49-F238E27FC236}">
                  <a16:creationId xmlns:a16="http://schemas.microsoft.com/office/drawing/2014/main" id="{82701E99-6B81-4EE2-9617-227F0A5A5B5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3283" y="2701158"/>
              <a:ext cx="1260000" cy="919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57807</xdr:colOff>
      <xdr:row>3</xdr:row>
      <xdr:rowOff>59586</xdr:rowOff>
    </xdr:from>
    <xdr:to>
      <xdr:col>1</xdr:col>
      <xdr:colOff>683173</xdr:colOff>
      <xdr:row>19</xdr:row>
      <xdr:rowOff>11835</xdr:rowOff>
    </xdr:to>
    <xdr:grpSp>
      <xdr:nvGrpSpPr>
        <xdr:cNvPr id="40" name="Group 39">
          <a:extLst>
            <a:ext uri="{FF2B5EF4-FFF2-40B4-BE49-F238E27FC236}">
              <a16:creationId xmlns:a16="http://schemas.microsoft.com/office/drawing/2014/main" id="{28E08FED-B8AD-59BB-A63B-D9B114DE1C1D}"/>
            </a:ext>
          </a:extLst>
        </xdr:cNvPr>
        <xdr:cNvGrpSpPr/>
      </xdr:nvGrpSpPr>
      <xdr:grpSpPr>
        <a:xfrm>
          <a:off x="57807" y="667905"/>
          <a:ext cx="1259299" cy="2993846"/>
          <a:chOff x="57806" y="611379"/>
          <a:chExt cx="1161394" cy="2895146"/>
        </a:xfrm>
      </xdr:grpSpPr>
      <xdr:sp macro="" textlink="">
        <xdr:nvSpPr>
          <xdr:cNvPr id="37" name="Rectangle 36">
            <a:extLst>
              <a:ext uri="{FF2B5EF4-FFF2-40B4-BE49-F238E27FC236}">
                <a16:creationId xmlns:a16="http://schemas.microsoft.com/office/drawing/2014/main" id="{07891BEB-F78F-5CF2-0C2B-35F906D67D40}"/>
              </a:ext>
            </a:extLst>
          </xdr:cNvPr>
          <xdr:cNvSpPr/>
        </xdr:nvSpPr>
        <xdr:spPr>
          <a:xfrm>
            <a:off x="57806" y="1521883"/>
            <a:ext cx="1152000" cy="1033496"/>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8" name="Rectangle 37">
            <a:extLst>
              <a:ext uri="{FF2B5EF4-FFF2-40B4-BE49-F238E27FC236}">
                <a16:creationId xmlns:a16="http://schemas.microsoft.com/office/drawing/2014/main" id="{7D9F0D8D-4C2A-2FBC-08C4-711579FC9994}"/>
              </a:ext>
            </a:extLst>
          </xdr:cNvPr>
          <xdr:cNvSpPr/>
        </xdr:nvSpPr>
        <xdr:spPr>
          <a:xfrm>
            <a:off x="67200" y="2606525"/>
            <a:ext cx="1152000" cy="9000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9" name="Rectangle 38">
            <a:extLst>
              <a:ext uri="{FF2B5EF4-FFF2-40B4-BE49-F238E27FC236}">
                <a16:creationId xmlns:a16="http://schemas.microsoft.com/office/drawing/2014/main" id="{B7EC3707-B63E-5244-EF3A-8F204E8B17C3}"/>
              </a:ext>
            </a:extLst>
          </xdr:cNvPr>
          <xdr:cNvSpPr/>
        </xdr:nvSpPr>
        <xdr:spPr>
          <a:xfrm>
            <a:off x="57806" y="611379"/>
            <a:ext cx="1161394" cy="86006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0</xdr:col>
      <xdr:colOff>67199</xdr:colOff>
      <xdr:row>3</xdr:row>
      <xdr:rowOff>89339</xdr:rowOff>
    </xdr:from>
    <xdr:to>
      <xdr:col>1</xdr:col>
      <xdr:colOff>672662</xdr:colOff>
      <xdr:row>7</xdr:row>
      <xdr:rowOff>108043</xdr:rowOff>
    </xdr:to>
    <mc:AlternateContent xmlns:mc="http://schemas.openxmlformats.org/markup-compatibility/2006" xmlns:a14="http://schemas.microsoft.com/office/drawing/2010/main">
      <mc:Choice Requires="a14">
        <xdr:graphicFrame macro="">
          <xdr:nvGraphicFramePr>
            <xdr:cNvPr id="41" name="Salesperson">
              <a:extLst>
                <a:ext uri="{FF2B5EF4-FFF2-40B4-BE49-F238E27FC236}">
                  <a16:creationId xmlns:a16="http://schemas.microsoft.com/office/drawing/2014/main" id="{174700C9-0D3D-4519-9A1B-07C74576D7C9}"/>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67199" y="693684"/>
              <a:ext cx="1236084" cy="82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7</xdr:row>
      <xdr:rowOff>0</xdr:rowOff>
    </xdr:from>
    <xdr:to>
      <xdr:col>5</xdr:col>
      <xdr:colOff>0</xdr:colOff>
      <xdr:row>18</xdr:row>
      <xdr:rowOff>183930</xdr:rowOff>
    </xdr:to>
    <mc:AlternateContent xmlns:mc="http://schemas.openxmlformats.org/markup-compatibility/2006">
      <mc:Choice xmlns:cx4="http://schemas.microsoft.com/office/drawing/2016/5/10/chartex" Requires="cx4">
        <xdr:graphicFrame macro="">
          <xdr:nvGraphicFramePr>
            <xdr:cNvPr id="42" name="Chart 41">
              <a:extLst>
                <a:ext uri="{FF2B5EF4-FFF2-40B4-BE49-F238E27FC236}">
                  <a16:creationId xmlns:a16="http://schemas.microsoft.com/office/drawing/2014/main" id="{D45C7F39-C812-43D7-829D-CC03F0B4E56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386840" y="1409700"/>
              <a:ext cx="1920240" cy="21956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0</xdr:col>
      <xdr:colOff>121257</xdr:colOff>
      <xdr:row>8</xdr:row>
      <xdr:rowOff>37621</xdr:rowOff>
    </xdr:from>
    <xdr:to>
      <xdr:col>1</xdr:col>
      <xdr:colOff>642636</xdr:colOff>
      <xdr:row>13</xdr:row>
      <xdr:rowOff>125965</xdr:rowOff>
    </xdr:to>
    <mc:AlternateContent xmlns:mc="http://schemas.openxmlformats.org/markup-compatibility/2006" xmlns:a14="http://schemas.microsoft.com/office/drawing/2010/main">
      <mc:Choice Requires="a14">
        <xdr:graphicFrame macro="">
          <xdr:nvGraphicFramePr>
            <xdr:cNvPr id="45" name="Product">
              <a:extLst>
                <a:ext uri="{FF2B5EF4-FFF2-40B4-BE49-F238E27FC236}">
                  <a16:creationId xmlns:a16="http://schemas.microsoft.com/office/drawing/2014/main" id="{CF4EB452-F2FF-4857-A620-6A2D334A4A1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1257" y="1635193"/>
              <a:ext cx="1152000" cy="100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2</xdr:col>
      <xdr:colOff>7881</xdr:colOff>
      <xdr:row>0</xdr:row>
      <xdr:rowOff>107208</xdr:rowOff>
    </xdr:from>
    <xdr:to>
      <xdr:col>7</xdr:col>
      <xdr:colOff>578373</xdr:colOff>
      <xdr:row>6</xdr:row>
      <xdr:rowOff>137335</xdr:rowOff>
    </xdr:to>
    <mc:AlternateContent xmlns:mc="http://schemas.openxmlformats.org/markup-compatibility/2006" xmlns:tsle="http://schemas.microsoft.com/office/drawing/2012/timeslicer">
      <mc:Choice Requires="tsle">
        <xdr:graphicFrame macro="">
          <xdr:nvGraphicFramePr>
            <xdr:cNvPr id="46" name="OrderDate">
              <a:extLst>
                <a:ext uri="{FF2B5EF4-FFF2-40B4-BE49-F238E27FC236}">
                  <a16:creationId xmlns:a16="http://schemas.microsoft.com/office/drawing/2014/main" id="{A3010623-6322-485B-AF87-D4CABE27BFE3}"/>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1395247" y="107208"/>
              <a:ext cx="3350478" cy="125983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fPrintsWithSheet="0"/>
  </xdr:twoCellAnchor>
  <xdr:twoCellAnchor>
    <xdr:from>
      <xdr:col>8</xdr:col>
      <xdr:colOff>122534</xdr:colOff>
      <xdr:row>3</xdr:row>
      <xdr:rowOff>141017</xdr:rowOff>
    </xdr:from>
    <xdr:to>
      <xdr:col>13</xdr:col>
      <xdr:colOff>0</xdr:colOff>
      <xdr:row>10</xdr:row>
      <xdr:rowOff>152401</xdr:rowOff>
    </xdr:to>
    <xdr:graphicFrame macro="">
      <xdr:nvGraphicFramePr>
        <xdr:cNvPr id="47" name="Chart 46">
          <a:extLst>
            <a:ext uri="{FF2B5EF4-FFF2-40B4-BE49-F238E27FC236}">
              <a16:creationId xmlns:a16="http://schemas.microsoft.com/office/drawing/2014/main" id="{E57106F2-B804-41D5-86F8-EFCF3B9DA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144149</xdr:colOff>
      <xdr:row>11</xdr:row>
      <xdr:rowOff>162560</xdr:rowOff>
    </xdr:from>
    <xdr:to>
      <xdr:col>13</xdr:col>
      <xdr:colOff>19249</xdr:colOff>
      <xdr:row>18</xdr:row>
      <xdr:rowOff>162560</xdr:rowOff>
    </xdr:to>
    <xdr:graphicFrame macro="">
      <xdr:nvGraphicFramePr>
        <xdr:cNvPr id="48" name="Chart 47">
          <a:extLst>
            <a:ext uri="{FF2B5EF4-FFF2-40B4-BE49-F238E27FC236}">
              <a16:creationId xmlns:a16="http://schemas.microsoft.com/office/drawing/2014/main" id="{B281F849-9295-4729-B22B-EB592309C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0</xdr:row>
      <xdr:rowOff>91442</xdr:rowOff>
    </xdr:from>
    <xdr:to>
      <xdr:col>7</xdr:col>
      <xdr:colOff>603030</xdr:colOff>
      <xdr:row>6</xdr:row>
      <xdr:rowOff>137335</xdr:rowOff>
    </xdr:to>
    <xdr:sp macro="" textlink="">
      <xdr:nvSpPr>
        <xdr:cNvPr id="49" name="Rectangle 48">
          <a:extLst>
            <a:ext uri="{FF2B5EF4-FFF2-40B4-BE49-F238E27FC236}">
              <a16:creationId xmlns:a16="http://schemas.microsoft.com/office/drawing/2014/main" id="{3ACEFF20-61A5-137C-4224-FC80C71389FE}"/>
            </a:ext>
          </a:extLst>
        </xdr:cNvPr>
        <xdr:cNvSpPr/>
      </xdr:nvSpPr>
      <xdr:spPr>
        <a:xfrm>
          <a:off x="1387366" y="91442"/>
          <a:ext cx="3267402" cy="129136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95311</xdr:colOff>
      <xdr:row>6</xdr:row>
      <xdr:rowOff>183930</xdr:rowOff>
    </xdr:from>
    <xdr:to>
      <xdr:col>8</xdr:col>
      <xdr:colOff>16886</xdr:colOff>
      <xdr:row>9</xdr:row>
      <xdr:rowOff>64137</xdr:rowOff>
    </xdr:to>
    <xdr:sp macro="" textlink="">
      <xdr:nvSpPr>
        <xdr:cNvPr id="50" name="Rectangle: Rounded Corners 49">
          <a:extLst>
            <a:ext uri="{FF2B5EF4-FFF2-40B4-BE49-F238E27FC236}">
              <a16:creationId xmlns:a16="http://schemas.microsoft.com/office/drawing/2014/main" id="{DBFA00D1-E247-6C1B-5F98-904ABD30B886}"/>
            </a:ext>
          </a:extLst>
        </xdr:cNvPr>
        <xdr:cNvSpPr/>
      </xdr:nvSpPr>
      <xdr:spPr>
        <a:xfrm>
          <a:off x="3400814" y="1413640"/>
          <a:ext cx="1393024" cy="432000"/>
        </a:xfrm>
        <a:prstGeom prst="roundRect">
          <a:avLst/>
        </a:prstGeom>
        <a:gradFill flip="none" rotWithShape="1">
          <a:gsLst>
            <a:gs pos="0">
              <a:srgbClr val="10F0E5">
                <a:tint val="66000"/>
                <a:satMod val="160000"/>
              </a:srgbClr>
            </a:gs>
            <a:gs pos="50000">
              <a:srgbClr val="10F0E5">
                <a:tint val="44500"/>
                <a:satMod val="160000"/>
              </a:srgbClr>
            </a:gs>
            <a:gs pos="100000">
              <a:srgbClr val="10F0E5">
                <a:tint val="23500"/>
                <a:satMod val="160000"/>
              </a:srgb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122533</xdr:colOff>
      <xdr:row>1</xdr:row>
      <xdr:rowOff>0</xdr:rowOff>
    </xdr:from>
    <xdr:to>
      <xdr:col>12</xdr:col>
      <xdr:colOff>601978</xdr:colOff>
      <xdr:row>2</xdr:row>
      <xdr:rowOff>227751</xdr:rowOff>
    </xdr:to>
    <xdr:sp macro="" textlink="">
      <xdr:nvSpPr>
        <xdr:cNvPr id="52" name="TextBox 51">
          <a:extLst>
            <a:ext uri="{FF2B5EF4-FFF2-40B4-BE49-F238E27FC236}">
              <a16:creationId xmlns:a16="http://schemas.microsoft.com/office/drawing/2014/main" id="{0200B76C-81C7-B463-81D4-BCCFDC125972}"/>
            </a:ext>
          </a:extLst>
        </xdr:cNvPr>
        <xdr:cNvSpPr txBox="1"/>
      </xdr:nvSpPr>
      <xdr:spPr>
        <a:xfrm>
          <a:off x="4783871" y="183931"/>
          <a:ext cx="2917845" cy="380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1" i="0">
              <a:latin typeface="Bahnschrift SemiBold SemiConden" panose="020B0502040204020203" pitchFamily="34" charset="0"/>
            </a:rPr>
            <a:t>SALES</a:t>
          </a:r>
          <a:r>
            <a:rPr lang="en-IN" sz="1200" b="1" i="0" baseline="0">
              <a:latin typeface="Bahnschrift SemiBold SemiConden" panose="020B0502040204020203" pitchFamily="34" charset="0"/>
            </a:rPr>
            <a:t> PERFORMANCE DASHBOARD</a:t>
          </a:r>
          <a:endParaRPr lang="en-IN" sz="1200" b="1" i="0">
            <a:latin typeface="Bahnschrift SemiBold SemiConden" panose="020B0502040204020203" pitchFamily="34" charset="0"/>
          </a:endParaRPr>
        </a:p>
      </xdr:txBody>
    </xdr:sp>
    <xdr:clientData/>
  </xdr:twoCellAnchor>
  <xdr:twoCellAnchor editAs="oneCell">
    <xdr:from>
      <xdr:col>11</xdr:col>
      <xdr:colOff>609599</xdr:colOff>
      <xdr:row>0</xdr:row>
      <xdr:rowOff>134275</xdr:rowOff>
    </xdr:from>
    <xdr:to>
      <xdr:col>13</xdr:col>
      <xdr:colOff>3858</xdr:colOff>
      <xdr:row>3</xdr:row>
      <xdr:rowOff>17544</xdr:rowOff>
    </xdr:to>
    <xdr:pic>
      <xdr:nvPicPr>
        <xdr:cNvPr id="54" name="Graphic 53" descr="Bar graph with upward trend with solid fill">
          <a:extLst>
            <a:ext uri="{FF2B5EF4-FFF2-40B4-BE49-F238E27FC236}">
              <a16:creationId xmlns:a16="http://schemas.microsoft.com/office/drawing/2014/main" id="{7FFA9519-D1D7-F5EF-19D3-51EA99F33C8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099737" y="134275"/>
          <a:ext cx="602573" cy="487614"/>
        </a:xfrm>
        <a:prstGeom prst="rect">
          <a:avLst/>
        </a:prstGeom>
      </xdr:spPr>
    </xdr:pic>
    <xdr:clientData/>
  </xdr:twoCellAnchor>
  <xdr:twoCellAnchor>
    <xdr:from>
      <xdr:col>5</xdr:col>
      <xdr:colOff>95311</xdr:colOff>
      <xdr:row>10</xdr:row>
      <xdr:rowOff>146444</xdr:rowOff>
    </xdr:from>
    <xdr:to>
      <xdr:col>7</xdr:col>
      <xdr:colOff>424896</xdr:colOff>
      <xdr:row>11</xdr:row>
      <xdr:rowOff>146444</xdr:rowOff>
    </xdr:to>
    <xdr:sp macro="" textlink="KPI!A3">
      <xdr:nvSpPr>
        <xdr:cNvPr id="58" name="TextBox 57">
          <a:extLst>
            <a:ext uri="{FF2B5EF4-FFF2-40B4-BE49-F238E27FC236}">
              <a16:creationId xmlns:a16="http://schemas.microsoft.com/office/drawing/2014/main" id="{FEF19AC5-9838-A413-390F-79043B7C8009}"/>
            </a:ext>
          </a:extLst>
        </xdr:cNvPr>
        <xdr:cNvSpPr txBox="1"/>
      </xdr:nvSpPr>
      <xdr:spPr>
        <a:xfrm>
          <a:off x="3400814" y="2111878"/>
          <a:ext cx="1191434" cy="183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761A66-04D2-40F8-AA11-58A030531CF2}" type="TxLink">
            <a:rPr lang="en-US" sz="1600" b="0" i="0" u="none" strike="noStrike">
              <a:solidFill>
                <a:srgbClr val="000000"/>
              </a:solidFill>
              <a:latin typeface="Calibri"/>
              <a:ea typeface="Calibri"/>
              <a:cs typeface="Calibri"/>
            </a:rPr>
            <a:pPr algn="ctr"/>
            <a:t>8560156</a:t>
          </a:fld>
          <a:endParaRPr lang="en-IN" sz="1600"/>
        </a:p>
      </xdr:txBody>
    </xdr:sp>
    <xdr:clientData/>
  </xdr:twoCellAnchor>
  <xdr:twoCellAnchor editAs="oneCell">
    <xdr:from>
      <xdr:col>7</xdr:col>
      <xdr:colOff>269016</xdr:colOff>
      <xdr:row>9</xdr:row>
      <xdr:rowOff>183931</xdr:rowOff>
    </xdr:from>
    <xdr:to>
      <xdr:col>7</xdr:col>
      <xdr:colOff>585162</xdr:colOff>
      <xdr:row>11</xdr:row>
      <xdr:rowOff>132214</xdr:rowOff>
    </xdr:to>
    <xdr:pic>
      <xdr:nvPicPr>
        <xdr:cNvPr id="60" name="Graphic 59" descr="Dollar with solid fill">
          <a:extLst>
            <a:ext uri="{FF2B5EF4-FFF2-40B4-BE49-F238E27FC236}">
              <a16:creationId xmlns:a16="http://schemas.microsoft.com/office/drawing/2014/main" id="{7212282B-74F1-DCC2-EB17-95BA2E927E0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436368" y="1965434"/>
          <a:ext cx="316146" cy="316146"/>
        </a:xfrm>
        <a:prstGeom prst="rect">
          <a:avLst/>
        </a:prstGeom>
      </xdr:spPr>
    </xdr:pic>
    <xdr:clientData/>
  </xdr:twoCellAnchor>
  <xdr:twoCellAnchor>
    <xdr:from>
      <xdr:col>5</xdr:col>
      <xdr:colOff>95311</xdr:colOff>
      <xdr:row>7</xdr:row>
      <xdr:rowOff>698</xdr:rowOff>
    </xdr:from>
    <xdr:to>
      <xdr:col>7</xdr:col>
      <xdr:colOff>585162</xdr:colOff>
      <xdr:row>8</xdr:row>
      <xdr:rowOff>699</xdr:rowOff>
    </xdr:to>
    <xdr:sp macro="" textlink="">
      <xdr:nvSpPr>
        <xdr:cNvPr id="61" name="TextBox 60">
          <a:extLst>
            <a:ext uri="{FF2B5EF4-FFF2-40B4-BE49-F238E27FC236}">
              <a16:creationId xmlns:a16="http://schemas.microsoft.com/office/drawing/2014/main" id="{56728CB2-D980-4058-CDF7-F20211244705}"/>
            </a:ext>
          </a:extLst>
        </xdr:cNvPr>
        <xdr:cNvSpPr txBox="1"/>
      </xdr:nvSpPr>
      <xdr:spPr>
        <a:xfrm>
          <a:off x="3400814" y="1414339"/>
          <a:ext cx="1351700" cy="183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aseline="0"/>
            <a:t>Total Coustomer</a:t>
          </a:r>
          <a:endParaRPr lang="en-IN" sz="1200"/>
        </a:p>
      </xdr:txBody>
    </xdr:sp>
    <xdr:clientData/>
  </xdr:twoCellAnchor>
  <xdr:twoCellAnchor editAs="oneCell">
    <xdr:from>
      <xdr:col>7</xdr:col>
      <xdr:colOff>269016</xdr:colOff>
      <xdr:row>7</xdr:row>
      <xdr:rowOff>124883</xdr:rowOff>
    </xdr:from>
    <xdr:to>
      <xdr:col>7</xdr:col>
      <xdr:colOff>578373</xdr:colOff>
      <xdr:row>9</xdr:row>
      <xdr:rowOff>66378</xdr:rowOff>
    </xdr:to>
    <xdr:pic>
      <xdr:nvPicPr>
        <xdr:cNvPr id="64" name="Graphic 63" descr="Group with solid fill">
          <a:extLst>
            <a:ext uri="{FF2B5EF4-FFF2-40B4-BE49-F238E27FC236}">
              <a16:creationId xmlns:a16="http://schemas.microsoft.com/office/drawing/2014/main" id="{B83B79D5-71F7-423D-585D-5102229C856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436368" y="1538524"/>
          <a:ext cx="309357" cy="309357"/>
        </a:xfrm>
        <a:prstGeom prst="rect">
          <a:avLst/>
        </a:prstGeom>
      </xdr:spPr>
    </xdr:pic>
    <xdr:clientData/>
  </xdr:twoCellAnchor>
  <xdr:twoCellAnchor>
    <xdr:from>
      <xdr:col>5</xdr:col>
      <xdr:colOff>95311</xdr:colOff>
      <xdr:row>8</xdr:row>
      <xdr:rowOff>699</xdr:rowOff>
    </xdr:from>
    <xdr:to>
      <xdr:col>7</xdr:col>
      <xdr:colOff>424896</xdr:colOff>
      <xdr:row>9</xdr:row>
      <xdr:rowOff>700</xdr:rowOff>
    </xdr:to>
    <xdr:sp macro="" textlink="KPI!A11">
      <xdr:nvSpPr>
        <xdr:cNvPr id="65" name="TextBox 64">
          <a:extLst>
            <a:ext uri="{FF2B5EF4-FFF2-40B4-BE49-F238E27FC236}">
              <a16:creationId xmlns:a16="http://schemas.microsoft.com/office/drawing/2014/main" id="{A44ECC86-760D-94EE-7B5A-87ED3B652AC5}"/>
            </a:ext>
          </a:extLst>
        </xdr:cNvPr>
        <xdr:cNvSpPr txBox="1"/>
      </xdr:nvSpPr>
      <xdr:spPr>
        <a:xfrm>
          <a:off x="3400814" y="1598271"/>
          <a:ext cx="1191434" cy="183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570BD8-49DF-4F21-8141-ECD15BD9CD2B}" type="TxLink">
            <a:rPr lang="en-US" sz="1100" b="0" i="0" u="none" strike="noStrike">
              <a:solidFill>
                <a:srgbClr val="000000"/>
              </a:solidFill>
              <a:latin typeface="Calibri"/>
              <a:ea typeface="Calibri"/>
              <a:cs typeface="Calibri"/>
            </a:rPr>
            <a:pPr algn="ctr"/>
            <a:t>13</a:t>
          </a:fld>
          <a:endParaRPr lang="en-US"/>
        </a:p>
      </xdr:txBody>
    </xdr:sp>
    <xdr:clientData/>
  </xdr:twoCellAnchor>
  <xdr:twoCellAnchor>
    <xdr:from>
      <xdr:col>0</xdr:col>
      <xdr:colOff>22526</xdr:colOff>
      <xdr:row>0</xdr:row>
      <xdr:rowOff>107208</xdr:rowOff>
    </xdr:from>
    <xdr:to>
      <xdr:col>1</xdr:col>
      <xdr:colOff>683173</xdr:colOff>
      <xdr:row>2</xdr:row>
      <xdr:rowOff>229944</xdr:rowOff>
    </xdr:to>
    <xdr:sp macro="" textlink="">
      <xdr:nvSpPr>
        <xdr:cNvPr id="66" name="Rectangle: Rounded Corners 65">
          <a:extLst>
            <a:ext uri="{FF2B5EF4-FFF2-40B4-BE49-F238E27FC236}">
              <a16:creationId xmlns:a16="http://schemas.microsoft.com/office/drawing/2014/main" id="{79466F2E-FB3E-6591-35DB-B18C0CF3A676}"/>
            </a:ext>
          </a:extLst>
        </xdr:cNvPr>
        <xdr:cNvSpPr/>
      </xdr:nvSpPr>
      <xdr:spPr>
        <a:xfrm>
          <a:off x="22526" y="107208"/>
          <a:ext cx="1291268" cy="459067"/>
        </a:xfrm>
        <a:prstGeom prst="roundRect">
          <a:avLst/>
        </a:prstGeom>
        <a:gradFill flip="none" rotWithShape="1">
          <a:gsLst>
            <a:gs pos="0">
              <a:srgbClr val="10F0E5">
                <a:tint val="66000"/>
                <a:satMod val="160000"/>
              </a:srgbClr>
            </a:gs>
            <a:gs pos="50000">
              <a:srgbClr val="10F0E5">
                <a:tint val="44500"/>
                <a:satMod val="160000"/>
              </a:srgbClr>
            </a:gs>
            <a:gs pos="100000">
              <a:srgbClr val="10F0E5">
                <a:tint val="23500"/>
                <a:satMod val="160000"/>
              </a:srgb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171061</xdr:rowOff>
    </xdr:from>
    <xdr:to>
      <xdr:col>1</xdr:col>
      <xdr:colOff>521379</xdr:colOff>
      <xdr:row>1</xdr:row>
      <xdr:rowOff>139530</xdr:rowOff>
    </xdr:to>
    <xdr:sp macro="" textlink="">
      <xdr:nvSpPr>
        <xdr:cNvPr id="67" name="TextBox 66">
          <a:extLst>
            <a:ext uri="{FF2B5EF4-FFF2-40B4-BE49-F238E27FC236}">
              <a16:creationId xmlns:a16="http://schemas.microsoft.com/office/drawing/2014/main" id="{E9A2F6D5-D861-F9B4-5441-583BBA987FA1}"/>
            </a:ext>
          </a:extLst>
        </xdr:cNvPr>
        <xdr:cNvSpPr txBox="1"/>
      </xdr:nvSpPr>
      <xdr:spPr>
        <a:xfrm>
          <a:off x="0" y="171061"/>
          <a:ext cx="1152000"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Unit Sold</a:t>
          </a:r>
        </a:p>
      </xdr:txBody>
    </xdr:sp>
    <xdr:clientData/>
  </xdr:twoCellAnchor>
  <xdr:twoCellAnchor>
    <xdr:from>
      <xdr:col>0</xdr:col>
      <xdr:colOff>0</xdr:colOff>
      <xdr:row>2</xdr:row>
      <xdr:rowOff>36786</xdr:rowOff>
    </xdr:from>
    <xdr:to>
      <xdr:col>1</xdr:col>
      <xdr:colOff>521379</xdr:colOff>
      <xdr:row>2</xdr:row>
      <xdr:rowOff>189186</xdr:rowOff>
    </xdr:to>
    <xdr:sp macro="" textlink="KPI!C3">
      <xdr:nvSpPr>
        <xdr:cNvPr id="68" name="TextBox 67">
          <a:extLst>
            <a:ext uri="{FF2B5EF4-FFF2-40B4-BE49-F238E27FC236}">
              <a16:creationId xmlns:a16="http://schemas.microsoft.com/office/drawing/2014/main" id="{791BB853-DA9C-6EB1-D6F5-5007E62F28C0}"/>
            </a:ext>
          </a:extLst>
        </xdr:cNvPr>
        <xdr:cNvSpPr txBox="1"/>
      </xdr:nvSpPr>
      <xdr:spPr>
        <a:xfrm>
          <a:off x="0" y="373117"/>
          <a:ext cx="1152000"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9C30AD2-DCF8-4755-89C2-5827DE57E346}" type="TxLink">
            <a:rPr lang="en-US" sz="1600" b="0" i="0" u="none" strike="noStrike">
              <a:solidFill>
                <a:srgbClr val="000000"/>
              </a:solidFill>
              <a:latin typeface="Calibri"/>
              <a:ea typeface="Calibri"/>
              <a:cs typeface="Calibri"/>
            </a:rPr>
            <a:pPr algn="ctr"/>
            <a:t>308</a:t>
          </a:fld>
          <a:endParaRPr lang="en-IN" sz="1600"/>
        </a:p>
      </xdr:txBody>
    </xdr:sp>
    <xdr:clientData/>
  </xdr:twoCellAnchor>
  <xdr:twoCellAnchor>
    <xdr:from>
      <xdr:col>4</xdr:col>
      <xdr:colOff>696502</xdr:colOff>
      <xdr:row>9</xdr:row>
      <xdr:rowOff>146443</xdr:rowOff>
    </xdr:from>
    <xdr:to>
      <xdr:col>7</xdr:col>
      <xdr:colOff>487416</xdr:colOff>
      <xdr:row>10</xdr:row>
      <xdr:rowOff>146444</xdr:rowOff>
    </xdr:to>
    <xdr:sp macro="" textlink="">
      <xdr:nvSpPr>
        <xdr:cNvPr id="69" name="TextBox 68">
          <a:extLst>
            <a:ext uri="{FF2B5EF4-FFF2-40B4-BE49-F238E27FC236}">
              <a16:creationId xmlns:a16="http://schemas.microsoft.com/office/drawing/2014/main" id="{21DD9E63-0FE0-E1B4-FE2B-989810A769B6}"/>
            </a:ext>
          </a:extLst>
        </xdr:cNvPr>
        <xdr:cNvSpPr txBox="1"/>
      </xdr:nvSpPr>
      <xdr:spPr>
        <a:xfrm>
          <a:off x="3303068" y="1927946"/>
          <a:ext cx="1351700" cy="183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aseline="0"/>
            <a:t>Total Sale</a:t>
          </a:r>
          <a:endParaRPr lang="en-IN" sz="1400"/>
        </a:p>
      </xdr:txBody>
    </xdr:sp>
    <xdr:clientData/>
  </xdr:twoCellAnchor>
  <xdr:twoCellAnchor editAs="oneCell">
    <xdr:from>
      <xdr:col>1</xdr:col>
      <xdr:colOff>300958</xdr:colOff>
      <xdr:row>0</xdr:row>
      <xdr:rowOff>160085</xdr:rowOff>
    </xdr:from>
    <xdr:to>
      <xdr:col>1</xdr:col>
      <xdr:colOff>691563</xdr:colOff>
      <xdr:row>2</xdr:row>
      <xdr:rowOff>211312</xdr:rowOff>
    </xdr:to>
    <xdr:pic>
      <xdr:nvPicPr>
        <xdr:cNvPr id="4" name="Graphic 3" descr="Shopping cart with solid fill">
          <a:extLst>
            <a:ext uri="{FF2B5EF4-FFF2-40B4-BE49-F238E27FC236}">
              <a16:creationId xmlns:a16="http://schemas.microsoft.com/office/drawing/2014/main" id="{74B1B859-5499-1DD9-04F8-13FF9608707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34891" y="160085"/>
          <a:ext cx="390605" cy="39060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w" refreshedDate="45888.566540509259" backgroundQuery="1" createdVersion="8" refreshedVersion="8" minRefreshableVersion="3" recordCount="0" supportSubquery="1" supportAdvancedDrill="1" xr:uid="{778219F2-5175-4888-910A-E6CD4DF2C6B8}">
  <cacheSource type="external" connectionId="1"/>
  <cacheFields count="1">
    <cacheField name="[Measures].[Distinct Count of Customer]" caption="Distinct Count of Customer" numFmtId="0" hierarchy="14" level="32767"/>
  </cacheFields>
  <cacheHierarchies count="15">
    <cacheHierarchy uniqueName="[Range].[OrderID]" caption="OrderID" attribute="1" defaultMemberUniqueName="[Range].[OrderID].[All]" allUniqueName="[Range].[OrderID].[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Customer]" caption="Customer" attribute="1" defaultMemberUniqueName="[Range].[Customer].[All]" allUniqueName="[Range].[Customer].[All]" dimensionUniqueName="[Range]" displayFolder="" count="0" memberValueDatatype="130" unbalanced="0"/>
    <cacheHierarchy uniqueName="[Range].[OrderDate]" caption="OrderDate" attribute="1" time="1" defaultMemberUniqueName="[Range].[OrderDate].[All]" allUniqueName="[Range].[Order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UnitsSold]" caption="UnitsSold" attribute="1" defaultMemberUniqueName="[Range].[UnitsSold].[All]" allUniqueName="[Range].[UnitsSold].[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TotalSales]" caption="TotalSales" attribute="1" defaultMemberUniqueName="[Range].[TotalSales].[All]" allUniqueName="[Range].[TotalSale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caption="Count of Customer" measure="1" displayFolder="" measureGroup="Range" count="0" hidden="1">
      <extLst>
        <ext xmlns:x15="http://schemas.microsoft.com/office/spreadsheetml/2010/11/main" uri="{B97F6D7D-B522-45F9-BDA1-12C45D357490}">
          <x15:cacheHierarchy aggregatedColumn="5"/>
        </ext>
      </extLst>
    </cacheHierarchy>
    <cacheHierarchy uniqueName="[Measures].[Distinct Count of Customer]" caption="Distinct Count of Customer" measure="1" displayFolder="" measureGroup="Range"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dhw" refreshedDate="46173.844074074077" createdVersion="8" refreshedVersion="8" minRefreshableVersion="3" recordCount="500" xr:uid="{E3D6F303-FFAA-4435-8069-67B891DF2A02}">
  <cacheSource type="worksheet">
    <worksheetSource ref="A1:K501" sheet="Sheet1"/>
  </cacheSource>
  <cacheFields count="11">
    <cacheField name="OrderID" numFmtId="0">
      <sharedItems containsSemiMixedTypes="0" containsString="0" containsNumber="1" containsInteger="1" minValue="1" maxValue="500"/>
    </cacheField>
    <cacheField name="Product" numFmtId="0">
      <sharedItems count="5">
        <s v="Mobile"/>
        <s v="Tablet"/>
        <s v="Smartwatch"/>
        <s v="Laptop"/>
        <s v="Headphones"/>
      </sharedItems>
    </cacheField>
    <cacheField name="Category" numFmtId="0">
      <sharedItems count="3">
        <s v="Accessories"/>
        <s v="Wearables"/>
        <s v="Electronics"/>
      </sharedItems>
    </cacheField>
    <cacheField name="Region" numFmtId="0">
      <sharedItems count="16">
        <s v="Maharashtra"/>
        <s v="Bihar"/>
        <s v="Tamil Nadu"/>
        <s v="Punjab"/>
        <s v="Assam"/>
        <s v="Karnataka"/>
        <s v="Uttar Pradesh"/>
        <s v="Haryana"/>
        <s v="Andhra Pradesh"/>
        <s v="Kerala"/>
        <s v="Rajasthan"/>
        <s v="Odisha"/>
        <s v="Gujarat"/>
        <s v="Goa"/>
        <s v="West Bengal"/>
        <s v="Delhi"/>
      </sharedItems>
    </cacheField>
    <cacheField name="Salesperson" numFmtId="0">
      <sharedItems count="6">
        <s v="Suresh"/>
        <s v="Amit"/>
        <s v="Priya"/>
        <s v="Ravi"/>
        <s v="Neha"/>
        <s v="Anita"/>
      </sharedItems>
    </cacheField>
    <cacheField name="Customer" numFmtId="0">
      <sharedItems/>
    </cacheField>
    <cacheField name="OrderDate" numFmtId="164">
      <sharedItems containsSemiMixedTypes="0" containsNonDate="0" containsDate="1" containsString="0" minDate="2023-01-01T00:00:00" maxDate="2023-12-29T00:00:00" count="265">
        <d v="2023-05-28T00:00:00"/>
        <d v="2023-11-16T00:00:00"/>
        <d v="2023-10-23T00:00:00"/>
        <d v="2023-10-18T00:00:00"/>
        <d v="2023-07-03T00:00:00"/>
        <d v="2023-03-17T00:00:00"/>
        <d v="2023-09-21T00:00:00"/>
        <d v="2023-04-04T00:00:00"/>
        <d v="2023-01-01T00:00:00"/>
        <d v="2023-12-19T00:00:00"/>
        <d v="2023-11-19T00:00:00"/>
        <d v="2023-05-01T00:00:00"/>
        <d v="2023-09-28T00:00:00"/>
        <d v="2023-11-15T00:00:00"/>
        <d v="2023-03-24T00:00:00"/>
        <d v="2023-10-24T00:00:00"/>
        <d v="2023-03-08T00:00:00"/>
        <d v="2023-12-04T00:00:00"/>
        <d v="2023-02-14T00:00:00"/>
        <d v="2023-12-18T00:00:00"/>
        <d v="2023-09-11T00:00:00"/>
        <d v="2023-11-08T00:00:00"/>
        <d v="2023-07-24T00:00:00"/>
        <d v="2023-07-20T00:00:00"/>
        <d v="2023-07-01T00:00:00"/>
        <d v="2023-04-21T00:00:00"/>
        <d v="2023-03-13T00:00:00"/>
        <d v="2023-06-26T00:00:00"/>
        <d v="2023-08-26T00:00:00"/>
        <d v="2023-05-10T00:00:00"/>
        <d v="2023-01-27T00:00:00"/>
        <d v="2023-07-26T00:00:00"/>
        <d v="2023-03-14T00:00:00"/>
        <d v="2023-04-07T00:00:00"/>
        <d v="2023-07-18T00:00:00"/>
        <d v="2023-10-16T00:00:00"/>
        <d v="2023-07-25T00:00:00"/>
        <d v="2023-09-14T00:00:00"/>
        <d v="2023-06-07T00:00:00"/>
        <d v="2023-04-13T00:00:00"/>
        <d v="2023-04-16T00:00:00"/>
        <d v="2023-01-24T00:00:00"/>
        <d v="2023-02-17T00:00:00"/>
        <d v="2023-03-18T00:00:00"/>
        <d v="2023-01-02T00:00:00"/>
        <d v="2023-09-19T00:00:00"/>
        <d v="2023-10-25T00:00:00"/>
        <d v="2023-10-11T00:00:00"/>
        <d v="2023-04-14T00:00:00"/>
        <d v="2023-05-16T00:00:00"/>
        <d v="2023-11-07T00:00:00"/>
        <d v="2023-12-09T00:00:00"/>
        <d v="2023-06-02T00:00:00"/>
        <d v="2023-01-28T00:00:00"/>
        <d v="2023-06-25T00:00:00"/>
        <d v="2023-05-25T00:00:00"/>
        <d v="2023-07-23T00:00:00"/>
        <d v="2023-01-23T00:00:00"/>
        <d v="2023-08-20T00:00:00"/>
        <d v="2023-08-28T00:00:00"/>
        <d v="2023-11-04T00:00:00"/>
        <d v="2023-06-08T00:00:00"/>
        <d v="2023-12-08T00:00:00"/>
        <d v="2023-10-27T00:00:00"/>
        <d v="2023-10-20T00:00:00"/>
        <d v="2023-01-18T00:00:00"/>
        <d v="2023-07-16T00:00:00"/>
        <d v="2023-12-20T00:00:00"/>
        <d v="2023-05-04T00:00:00"/>
        <d v="2023-01-06T00:00:00"/>
        <d v="2023-12-10T00:00:00"/>
        <d v="2023-03-15T00:00:00"/>
        <d v="2023-09-08T00:00:00"/>
        <d v="2023-02-22T00:00:00"/>
        <d v="2023-04-20T00:00:00"/>
        <d v="2023-02-23T00:00:00"/>
        <d v="2023-09-05T00:00:00"/>
        <d v="2023-02-03T00:00:00"/>
        <d v="2023-11-20T00:00:00"/>
        <d v="2023-02-08T00:00:00"/>
        <d v="2023-05-03T00:00:00"/>
        <d v="2023-06-17T00:00:00"/>
        <d v="2023-10-13T00:00:00"/>
        <d v="2023-05-26T00:00:00"/>
        <d v="2023-03-03T00:00:00"/>
        <d v="2023-01-26T00:00:00"/>
        <d v="2023-01-11T00:00:00"/>
        <d v="2023-07-07T00:00:00"/>
        <d v="2023-04-25T00:00:00"/>
        <d v="2023-11-14T00:00:00"/>
        <d v="2023-12-25T00:00:00"/>
        <d v="2023-07-02T00:00:00"/>
        <d v="2023-06-06T00:00:00"/>
        <d v="2023-04-26T00:00:00"/>
        <d v="2023-03-09T00:00:00"/>
        <d v="2023-11-03T00:00:00"/>
        <d v="2023-12-16T00:00:00"/>
        <d v="2023-12-23T00:00:00"/>
        <d v="2023-09-03T00:00:00"/>
        <d v="2023-07-05T00:00:00"/>
        <d v="2023-04-17T00:00:00"/>
        <d v="2023-03-25T00:00:00"/>
        <d v="2023-08-24T00:00:00"/>
        <d v="2023-03-04T00:00:00"/>
        <d v="2023-09-16T00:00:00"/>
        <d v="2023-05-05T00:00:00"/>
        <d v="2023-09-23T00:00:00"/>
        <d v="2023-07-19T00:00:00"/>
        <d v="2023-09-18T00:00:00"/>
        <d v="2023-12-15T00:00:00"/>
        <d v="2023-06-10T00:00:00"/>
        <d v="2023-02-26T00:00:00"/>
        <d v="2023-10-08T00:00:00"/>
        <d v="2023-08-14T00:00:00"/>
        <d v="2023-06-23T00:00:00"/>
        <d v="2023-05-07T00:00:00"/>
        <d v="2023-12-01T00:00:00"/>
        <d v="2023-10-21T00:00:00"/>
        <d v="2023-03-10T00:00:00"/>
        <d v="2023-01-13T00:00:00"/>
        <d v="2023-03-27T00:00:00"/>
        <d v="2023-05-20T00:00:00"/>
        <d v="2023-10-10T00:00:00"/>
        <d v="2023-08-02T00:00:00"/>
        <d v="2023-12-07T00:00:00"/>
        <d v="2023-02-27T00:00:00"/>
        <d v="2023-09-25T00:00:00"/>
        <d v="2023-08-25T00:00:00"/>
        <d v="2023-03-07T00:00:00"/>
        <d v="2023-02-06T00:00:00"/>
        <d v="2023-10-09T00:00:00"/>
        <d v="2023-02-09T00:00:00"/>
        <d v="2023-04-09T00:00:00"/>
        <d v="2023-03-11T00:00:00"/>
        <d v="2023-09-09T00:00:00"/>
        <d v="2023-09-17T00:00:00"/>
        <d v="2023-08-22T00:00:00"/>
        <d v="2023-08-23T00:00:00"/>
        <d v="2023-07-09T00:00:00"/>
        <d v="2023-12-14T00:00:00"/>
        <d v="2023-03-26T00:00:00"/>
        <d v="2023-06-05T00:00:00"/>
        <d v="2023-11-26T00:00:00"/>
        <d v="2023-02-16T00:00:00"/>
        <d v="2023-08-21T00:00:00"/>
        <d v="2023-12-12T00:00:00"/>
        <d v="2023-10-01T00:00:00"/>
        <d v="2023-07-14T00:00:00"/>
        <d v="2023-06-03T00:00:00"/>
        <d v="2023-08-06T00:00:00"/>
        <d v="2023-09-10T00:00:00"/>
        <d v="2023-07-11T00:00:00"/>
        <d v="2023-10-02T00:00:00"/>
        <d v="2023-01-15T00:00:00"/>
        <d v="2023-08-15T00:00:00"/>
        <d v="2023-01-09T00:00:00"/>
        <d v="2023-04-19T00:00:00"/>
        <d v="2023-09-12T00:00:00"/>
        <d v="2023-08-12T00:00:00"/>
        <d v="2023-07-22T00:00:00"/>
        <d v="2023-12-17T00:00:00"/>
        <d v="2023-12-05T00:00:00"/>
        <d v="2023-03-16T00:00:00"/>
        <d v="2023-10-14T00:00:00"/>
        <d v="2023-08-11T00:00:00"/>
        <d v="2023-09-27T00:00:00"/>
        <d v="2023-11-12T00:00:00"/>
        <d v="2023-11-10T00:00:00"/>
        <d v="2023-01-05T00:00:00"/>
        <d v="2023-07-10T00:00:00"/>
        <d v="2023-09-06T00:00:00"/>
        <d v="2023-12-02T00:00:00"/>
        <d v="2023-03-06T00:00:00"/>
        <d v="2023-08-16T00:00:00"/>
        <d v="2023-07-15T00:00:00"/>
        <d v="2023-01-22T00:00:00"/>
        <d v="2023-02-13T00:00:00"/>
        <d v="2023-06-24T00:00:00"/>
        <d v="2023-11-18T00:00:00"/>
        <d v="2023-02-12T00:00:00"/>
        <d v="2023-08-09T00:00:00"/>
        <d v="2023-06-11T00:00:00"/>
        <d v="2023-01-04T00:00:00"/>
        <d v="2023-04-18T00:00:00"/>
        <d v="2023-03-12T00:00:00"/>
        <d v="2023-07-06T00:00:00"/>
        <d v="2023-10-04T00:00:00"/>
        <d v="2023-05-18T00:00:00"/>
        <d v="2023-09-24T00:00:00"/>
        <d v="2023-04-22T00:00:00"/>
        <d v="2023-05-15T00:00:00"/>
        <d v="2023-10-03T00:00:00"/>
        <d v="2023-04-12T00:00:00"/>
        <d v="2023-03-20T00:00:00"/>
        <d v="2023-09-15T00:00:00"/>
        <d v="2023-06-15T00:00:00"/>
        <d v="2023-04-10T00:00:00"/>
        <d v="2023-11-28T00:00:00"/>
        <d v="2023-11-02T00:00:00"/>
        <d v="2023-07-21T00:00:00"/>
        <d v="2023-11-22T00:00:00"/>
        <d v="2023-06-18T00:00:00"/>
        <d v="2023-02-15T00:00:00"/>
        <d v="2023-09-20T00:00:00"/>
        <d v="2023-02-25T00:00:00"/>
        <d v="2023-10-19T00:00:00"/>
        <d v="2023-10-22T00:00:00"/>
        <d v="2023-02-07T00:00:00"/>
        <d v="2023-11-13T00:00:00"/>
        <d v="2023-03-23T00:00:00"/>
        <d v="2023-02-24T00:00:00"/>
        <d v="2023-12-28T00:00:00"/>
        <d v="2023-04-23T00:00:00"/>
        <d v="2023-11-21T00:00:00"/>
        <d v="2023-08-13T00:00:00"/>
        <d v="2023-02-20T00:00:00"/>
        <d v="2023-03-21T00:00:00"/>
        <d v="2023-05-21T00:00:00"/>
        <d v="2023-12-21T00:00:00"/>
        <d v="2023-07-17T00:00:00"/>
        <d v="2023-11-06T00:00:00"/>
        <d v="2023-05-11T00:00:00"/>
        <d v="2023-06-13T00:00:00"/>
        <d v="2023-03-01T00:00:00"/>
        <d v="2023-04-01T00:00:00"/>
        <d v="2023-11-11T00:00:00"/>
        <d v="2023-05-14T00:00:00"/>
        <d v="2023-04-08T00:00:00"/>
        <d v="2023-08-08T00:00:00"/>
        <d v="2023-06-14T00:00:00"/>
        <d v="2023-06-22T00:00:00"/>
        <d v="2023-02-02T00:00:00"/>
        <d v="2023-02-01T00:00:00"/>
        <d v="2023-12-03T00:00:00"/>
        <d v="2023-01-19T00:00:00"/>
        <d v="2023-01-12T00:00:00"/>
        <d v="2023-09-22T00:00:00"/>
        <d v="2023-08-07T00:00:00"/>
        <d v="2023-04-27T00:00:00"/>
        <d v="2023-08-19T00:00:00"/>
        <d v="2023-10-28T00:00:00"/>
        <d v="2023-02-05T00:00:00"/>
        <d v="2023-07-12T00:00:00"/>
        <d v="2023-06-21T00:00:00"/>
        <d v="2023-08-18T00:00:00"/>
        <d v="2023-02-18T00:00:00"/>
        <d v="2023-07-28T00:00:00"/>
        <d v="2023-10-17T00:00:00"/>
        <d v="2023-05-02T00:00:00"/>
        <d v="2023-04-24T00:00:00"/>
        <d v="2023-08-03T00:00:00"/>
        <d v="2023-01-21T00:00:00"/>
        <d v="2023-10-05T00:00:00"/>
        <d v="2023-11-01T00:00:00"/>
        <d v="2023-01-17T00:00:00"/>
        <d v="2023-09-02T00:00:00"/>
        <d v="2023-10-12T00:00:00"/>
        <d v="2023-01-14T00:00:00"/>
        <d v="2023-01-03T00:00:00"/>
        <d v="2023-06-19T00:00:00"/>
        <d v="2023-03-28T00:00:00"/>
        <d v="2023-11-27T00:00:00"/>
        <d v="2023-08-10T00:00:00"/>
        <d v="2023-06-20T00:00:00"/>
        <d v="2023-12-11T00:00:00"/>
      </sharedItems>
    </cacheField>
    <cacheField name="Month" numFmtId="0">
      <sharedItems count="12">
        <s v="May"/>
        <s v="November"/>
        <s v="October"/>
        <s v="July"/>
        <s v="March"/>
        <s v="September"/>
        <s v="April"/>
        <s v="January"/>
        <s v="December"/>
        <s v="February"/>
        <s v="June"/>
        <s v="August"/>
      </sharedItems>
    </cacheField>
    <cacheField name="UnitsSold" numFmtId="0">
      <sharedItems containsSemiMixedTypes="0" containsString="0" containsNumber="1" containsInteger="1" minValue="1" maxValue="50"/>
    </cacheField>
    <cacheField name="UnitPrice" numFmtId="0">
      <sharedItems containsSemiMixedTypes="0" containsString="0" containsNumber="1" containsInteger="1" minValue="1044" maxValue="49889"/>
    </cacheField>
    <cacheField name="TotalSales" numFmtId="0">
      <sharedItems containsSemiMixedTypes="0" containsString="0" containsNumber="1" containsInteger="1" minValue="4780" maxValue="2439850"/>
    </cacheField>
  </cacheFields>
  <extLst>
    <ext xmlns:x14="http://schemas.microsoft.com/office/spreadsheetml/2009/9/main" uri="{725AE2AE-9491-48be-B2B4-4EB974FC3084}">
      <x14:pivotCacheDefinition pivotCacheId="9227861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x v="0"/>
    <x v="0"/>
    <x v="0"/>
    <s v="Customer_12"/>
    <x v="0"/>
    <x v="0"/>
    <n v="20"/>
    <n v="5347"/>
    <n v="106940"/>
  </r>
  <r>
    <n v="2"/>
    <x v="0"/>
    <x v="1"/>
    <x v="1"/>
    <x v="1"/>
    <s v="Customer_13"/>
    <x v="1"/>
    <x v="1"/>
    <n v="33"/>
    <n v="5689"/>
    <n v="187737"/>
  </r>
  <r>
    <n v="3"/>
    <x v="1"/>
    <x v="0"/>
    <x v="2"/>
    <x v="2"/>
    <s v="Customer_20"/>
    <x v="2"/>
    <x v="2"/>
    <n v="12"/>
    <n v="26817"/>
    <n v="321804"/>
  </r>
  <r>
    <n v="4"/>
    <x v="2"/>
    <x v="1"/>
    <x v="0"/>
    <x v="3"/>
    <s v="Customer_17"/>
    <x v="3"/>
    <x v="2"/>
    <n v="26"/>
    <n v="17627"/>
    <n v="458302"/>
  </r>
  <r>
    <n v="5"/>
    <x v="3"/>
    <x v="2"/>
    <x v="3"/>
    <x v="1"/>
    <s v="Customer_20"/>
    <x v="4"/>
    <x v="3"/>
    <n v="50"/>
    <n v="14978"/>
    <n v="748900"/>
  </r>
  <r>
    <n v="6"/>
    <x v="2"/>
    <x v="1"/>
    <x v="1"/>
    <x v="4"/>
    <s v="Customer_18"/>
    <x v="5"/>
    <x v="4"/>
    <n v="3"/>
    <n v="47137"/>
    <n v="141411"/>
  </r>
  <r>
    <n v="7"/>
    <x v="3"/>
    <x v="0"/>
    <x v="4"/>
    <x v="1"/>
    <s v="Customer_17"/>
    <x v="6"/>
    <x v="5"/>
    <n v="7"/>
    <n v="37490"/>
    <n v="262430"/>
  </r>
  <r>
    <n v="8"/>
    <x v="4"/>
    <x v="2"/>
    <x v="5"/>
    <x v="0"/>
    <s v="Customer_1"/>
    <x v="7"/>
    <x v="6"/>
    <n v="48"/>
    <n v="42203"/>
    <n v="2025744"/>
  </r>
  <r>
    <n v="9"/>
    <x v="3"/>
    <x v="1"/>
    <x v="6"/>
    <x v="4"/>
    <s v="Customer_4"/>
    <x v="5"/>
    <x v="4"/>
    <n v="32"/>
    <n v="41861"/>
    <n v="1339552"/>
  </r>
  <r>
    <n v="10"/>
    <x v="2"/>
    <x v="1"/>
    <x v="2"/>
    <x v="1"/>
    <s v="Customer_12"/>
    <x v="8"/>
    <x v="7"/>
    <n v="45"/>
    <n v="24108"/>
    <n v="1084860"/>
  </r>
  <r>
    <n v="11"/>
    <x v="4"/>
    <x v="2"/>
    <x v="7"/>
    <x v="0"/>
    <s v="Customer_7"/>
    <x v="9"/>
    <x v="8"/>
    <n v="48"/>
    <n v="32714"/>
    <n v="1570272"/>
  </r>
  <r>
    <n v="12"/>
    <x v="2"/>
    <x v="1"/>
    <x v="3"/>
    <x v="2"/>
    <s v="Customer_14"/>
    <x v="10"/>
    <x v="1"/>
    <n v="45"/>
    <n v="25548"/>
    <n v="1149660"/>
  </r>
  <r>
    <n v="13"/>
    <x v="4"/>
    <x v="1"/>
    <x v="8"/>
    <x v="2"/>
    <s v="Customer_3"/>
    <x v="11"/>
    <x v="0"/>
    <n v="32"/>
    <n v="48810"/>
    <n v="12457"/>
  </r>
  <r>
    <n v="14"/>
    <x v="4"/>
    <x v="0"/>
    <x v="0"/>
    <x v="4"/>
    <s v="Customer_16"/>
    <x v="12"/>
    <x v="5"/>
    <n v="33"/>
    <n v="29460"/>
    <n v="972180"/>
  </r>
  <r>
    <n v="15"/>
    <x v="3"/>
    <x v="0"/>
    <x v="8"/>
    <x v="3"/>
    <s v="Customer_15"/>
    <x v="13"/>
    <x v="1"/>
    <n v="3"/>
    <n v="6121"/>
    <n v="18363"/>
  </r>
  <r>
    <n v="16"/>
    <x v="2"/>
    <x v="2"/>
    <x v="9"/>
    <x v="1"/>
    <s v="Customer_6"/>
    <x v="14"/>
    <x v="4"/>
    <n v="47"/>
    <n v="19403"/>
    <n v="911941"/>
  </r>
  <r>
    <n v="17"/>
    <x v="0"/>
    <x v="2"/>
    <x v="0"/>
    <x v="4"/>
    <s v="Customer_8"/>
    <x v="15"/>
    <x v="2"/>
    <n v="7"/>
    <n v="26818"/>
    <n v="187726"/>
  </r>
  <r>
    <n v="18"/>
    <x v="0"/>
    <x v="0"/>
    <x v="3"/>
    <x v="3"/>
    <s v="Customer_9"/>
    <x v="1"/>
    <x v="1"/>
    <n v="32"/>
    <n v="6404"/>
    <n v="204928"/>
  </r>
  <r>
    <n v="19"/>
    <x v="3"/>
    <x v="2"/>
    <x v="10"/>
    <x v="0"/>
    <s v="Customer_18"/>
    <x v="13"/>
    <x v="1"/>
    <n v="15"/>
    <n v="39088"/>
    <n v="586320"/>
  </r>
  <r>
    <n v="20"/>
    <x v="3"/>
    <x v="0"/>
    <x v="10"/>
    <x v="4"/>
    <s v="Customer_18"/>
    <x v="16"/>
    <x v="4"/>
    <n v="9"/>
    <n v="10637"/>
    <n v="95733"/>
  </r>
  <r>
    <n v="21"/>
    <x v="1"/>
    <x v="1"/>
    <x v="9"/>
    <x v="3"/>
    <s v="Customer_7"/>
    <x v="17"/>
    <x v="8"/>
    <n v="1"/>
    <n v="15818"/>
    <n v="15818"/>
  </r>
  <r>
    <n v="22"/>
    <x v="2"/>
    <x v="2"/>
    <x v="1"/>
    <x v="2"/>
    <s v="Customer_2"/>
    <x v="18"/>
    <x v="9"/>
    <n v="8"/>
    <n v="2550"/>
    <n v="20400"/>
  </r>
  <r>
    <n v="23"/>
    <x v="4"/>
    <x v="0"/>
    <x v="6"/>
    <x v="1"/>
    <s v="Customer_7"/>
    <x v="19"/>
    <x v="8"/>
    <n v="33"/>
    <n v="5769"/>
    <n v="190377"/>
  </r>
  <r>
    <n v="24"/>
    <x v="0"/>
    <x v="0"/>
    <x v="3"/>
    <x v="0"/>
    <s v="Customer_3"/>
    <x v="13"/>
    <x v="1"/>
    <n v="34"/>
    <n v="48184"/>
    <n v="1638256"/>
  </r>
  <r>
    <n v="25"/>
    <x v="3"/>
    <x v="2"/>
    <x v="4"/>
    <x v="1"/>
    <s v="Customer_16"/>
    <x v="20"/>
    <x v="5"/>
    <n v="34"/>
    <n v="23616"/>
    <n v="802944"/>
  </r>
  <r>
    <n v="26"/>
    <x v="3"/>
    <x v="1"/>
    <x v="11"/>
    <x v="0"/>
    <s v="Customer_13"/>
    <x v="21"/>
    <x v="1"/>
    <n v="42"/>
    <n v="36695"/>
    <n v="1541190"/>
  </r>
  <r>
    <n v="27"/>
    <x v="3"/>
    <x v="0"/>
    <x v="8"/>
    <x v="4"/>
    <s v="Customer_13"/>
    <x v="22"/>
    <x v="3"/>
    <n v="43"/>
    <n v="5475"/>
    <n v="235425"/>
  </r>
  <r>
    <n v="28"/>
    <x v="0"/>
    <x v="1"/>
    <x v="12"/>
    <x v="5"/>
    <s v="Customer_10"/>
    <x v="23"/>
    <x v="3"/>
    <n v="21"/>
    <n v="45844"/>
    <n v="962724"/>
  </r>
  <r>
    <n v="29"/>
    <x v="1"/>
    <x v="0"/>
    <x v="13"/>
    <x v="4"/>
    <s v="Customer_10"/>
    <x v="24"/>
    <x v="3"/>
    <n v="38"/>
    <n v="16899"/>
    <n v="642162"/>
  </r>
  <r>
    <n v="30"/>
    <x v="1"/>
    <x v="2"/>
    <x v="0"/>
    <x v="3"/>
    <s v="Customer_6"/>
    <x v="25"/>
    <x v="6"/>
    <n v="50"/>
    <n v="45480"/>
    <n v="2274000"/>
  </r>
  <r>
    <n v="31"/>
    <x v="4"/>
    <x v="0"/>
    <x v="5"/>
    <x v="4"/>
    <s v="Customer_10"/>
    <x v="26"/>
    <x v="4"/>
    <n v="22"/>
    <n v="15521"/>
    <n v="341462"/>
  </r>
  <r>
    <n v="32"/>
    <x v="3"/>
    <x v="0"/>
    <x v="1"/>
    <x v="5"/>
    <s v="Customer_11"/>
    <x v="27"/>
    <x v="10"/>
    <n v="2"/>
    <n v="44586"/>
    <n v="89172"/>
  </r>
  <r>
    <n v="33"/>
    <x v="1"/>
    <x v="2"/>
    <x v="7"/>
    <x v="5"/>
    <s v="Customer_20"/>
    <x v="28"/>
    <x v="11"/>
    <n v="4"/>
    <n v="48982"/>
    <n v="195928"/>
  </r>
  <r>
    <n v="34"/>
    <x v="0"/>
    <x v="1"/>
    <x v="3"/>
    <x v="0"/>
    <s v="Customer_13"/>
    <x v="29"/>
    <x v="0"/>
    <n v="19"/>
    <n v="25623"/>
    <n v="486837"/>
  </r>
  <r>
    <n v="35"/>
    <x v="2"/>
    <x v="1"/>
    <x v="6"/>
    <x v="5"/>
    <s v="Customer_9"/>
    <x v="30"/>
    <x v="7"/>
    <n v="14"/>
    <n v="21400"/>
    <n v="299600"/>
  </r>
  <r>
    <n v="36"/>
    <x v="1"/>
    <x v="1"/>
    <x v="0"/>
    <x v="3"/>
    <s v="Customer_6"/>
    <x v="31"/>
    <x v="3"/>
    <n v="32"/>
    <n v="12900"/>
    <n v="412800"/>
  </r>
  <r>
    <n v="37"/>
    <x v="3"/>
    <x v="0"/>
    <x v="13"/>
    <x v="1"/>
    <s v="Customer_12"/>
    <x v="32"/>
    <x v="4"/>
    <n v="49"/>
    <n v="18998"/>
    <n v="930902"/>
  </r>
  <r>
    <n v="38"/>
    <x v="0"/>
    <x v="1"/>
    <x v="11"/>
    <x v="4"/>
    <s v="Customer_8"/>
    <x v="33"/>
    <x v="6"/>
    <n v="48"/>
    <n v="37348"/>
    <n v="1792704"/>
  </r>
  <r>
    <n v="39"/>
    <x v="2"/>
    <x v="0"/>
    <x v="0"/>
    <x v="0"/>
    <s v="Customer_12"/>
    <x v="34"/>
    <x v="3"/>
    <n v="13"/>
    <n v="19070"/>
    <n v="247910"/>
  </r>
  <r>
    <n v="40"/>
    <x v="1"/>
    <x v="1"/>
    <x v="5"/>
    <x v="5"/>
    <s v="Customer_12"/>
    <x v="35"/>
    <x v="2"/>
    <n v="13"/>
    <n v="3054"/>
    <n v="39702"/>
  </r>
  <r>
    <n v="41"/>
    <x v="2"/>
    <x v="1"/>
    <x v="7"/>
    <x v="2"/>
    <s v="Customer_4"/>
    <x v="36"/>
    <x v="3"/>
    <n v="18"/>
    <n v="43762"/>
    <n v="787716"/>
  </r>
  <r>
    <n v="42"/>
    <x v="1"/>
    <x v="2"/>
    <x v="5"/>
    <x v="5"/>
    <s v="Customer_6"/>
    <x v="37"/>
    <x v="5"/>
    <n v="45"/>
    <n v="3988"/>
    <n v="179460"/>
  </r>
  <r>
    <n v="43"/>
    <x v="0"/>
    <x v="0"/>
    <x v="5"/>
    <x v="5"/>
    <s v="Customer_3"/>
    <x v="38"/>
    <x v="10"/>
    <n v="7"/>
    <n v="28167"/>
    <n v="197169"/>
  </r>
  <r>
    <n v="44"/>
    <x v="1"/>
    <x v="0"/>
    <x v="11"/>
    <x v="0"/>
    <s v="Customer_16"/>
    <x v="39"/>
    <x v="6"/>
    <n v="1"/>
    <n v="8723"/>
    <n v="8723"/>
  </r>
  <r>
    <n v="45"/>
    <x v="2"/>
    <x v="0"/>
    <x v="9"/>
    <x v="4"/>
    <s v="Customer_19"/>
    <x v="34"/>
    <x v="3"/>
    <n v="49"/>
    <n v="47377"/>
    <n v="2321473"/>
  </r>
  <r>
    <n v="46"/>
    <x v="2"/>
    <x v="1"/>
    <x v="14"/>
    <x v="2"/>
    <s v="Customer_11"/>
    <x v="40"/>
    <x v="6"/>
    <n v="1"/>
    <n v="33602"/>
    <n v="33602"/>
  </r>
  <r>
    <n v="47"/>
    <x v="4"/>
    <x v="1"/>
    <x v="3"/>
    <x v="4"/>
    <s v="Customer_1"/>
    <x v="41"/>
    <x v="7"/>
    <n v="31"/>
    <n v="6484"/>
    <n v="201004"/>
  </r>
  <r>
    <n v="48"/>
    <x v="1"/>
    <x v="2"/>
    <x v="6"/>
    <x v="3"/>
    <s v="Customer_14"/>
    <x v="42"/>
    <x v="9"/>
    <n v="41"/>
    <n v="15314"/>
    <n v="627874"/>
  </r>
  <r>
    <n v="49"/>
    <x v="2"/>
    <x v="0"/>
    <x v="15"/>
    <x v="4"/>
    <s v="Customer_15"/>
    <x v="43"/>
    <x v="4"/>
    <n v="44"/>
    <n v="49285"/>
    <n v="2168540"/>
  </r>
  <r>
    <n v="50"/>
    <x v="4"/>
    <x v="2"/>
    <x v="12"/>
    <x v="3"/>
    <s v="Customer_18"/>
    <x v="44"/>
    <x v="7"/>
    <n v="17"/>
    <n v="41534"/>
    <n v="706078"/>
  </r>
  <r>
    <n v="51"/>
    <x v="2"/>
    <x v="2"/>
    <x v="6"/>
    <x v="4"/>
    <s v="Customer_4"/>
    <x v="1"/>
    <x v="1"/>
    <n v="31"/>
    <n v="27774"/>
    <n v="860994"/>
  </r>
  <r>
    <n v="52"/>
    <x v="4"/>
    <x v="0"/>
    <x v="12"/>
    <x v="1"/>
    <s v="Customer_18"/>
    <x v="12"/>
    <x v="5"/>
    <n v="30"/>
    <n v="20230"/>
    <n v="606900"/>
  </r>
  <r>
    <n v="53"/>
    <x v="1"/>
    <x v="1"/>
    <x v="12"/>
    <x v="4"/>
    <s v="Customer_2"/>
    <x v="45"/>
    <x v="5"/>
    <n v="10"/>
    <n v="45521"/>
    <n v="455210"/>
  </r>
  <r>
    <n v="54"/>
    <x v="2"/>
    <x v="0"/>
    <x v="5"/>
    <x v="3"/>
    <s v="Customer_15"/>
    <x v="25"/>
    <x v="6"/>
    <n v="42"/>
    <n v="40422"/>
    <n v="1697724"/>
  </r>
  <r>
    <n v="55"/>
    <x v="1"/>
    <x v="1"/>
    <x v="3"/>
    <x v="4"/>
    <s v="Customer_6"/>
    <x v="46"/>
    <x v="2"/>
    <n v="15"/>
    <n v="39449"/>
    <n v="591735"/>
  </r>
  <r>
    <n v="56"/>
    <x v="2"/>
    <x v="0"/>
    <x v="5"/>
    <x v="5"/>
    <s v="Customer_12"/>
    <x v="47"/>
    <x v="2"/>
    <n v="23"/>
    <n v="49211"/>
    <n v="1131853"/>
  </r>
  <r>
    <n v="57"/>
    <x v="2"/>
    <x v="0"/>
    <x v="2"/>
    <x v="2"/>
    <s v="Customer_1"/>
    <x v="48"/>
    <x v="6"/>
    <n v="37"/>
    <n v="19854"/>
    <n v="734598"/>
  </r>
  <r>
    <n v="58"/>
    <x v="4"/>
    <x v="2"/>
    <x v="7"/>
    <x v="5"/>
    <s v="Customer_1"/>
    <x v="49"/>
    <x v="0"/>
    <n v="13"/>
    <n v="13061"/>
    <n v="169793"/>
  </r>
  <r>
    <n v="59"/>
    <x v="4"/>
    <x v="1"/>
    <x v="9"/>
    <x v="2"/>
    <s v="Customer_12"/>
    <x v="50"/>
    <x v="1"/>
    <n v="50"/>
    <n v="48797"/>
    <n v="2439850"/>
  </r>
  <r>
    <n v="60"/>
    <x v="4"/>
    <x v="1"/>
    <x v="0"/>
    <x v="1"/>
    <s v="Customer_20"/>
    <x v="51"/>
    <x v="8"/>
    <n v="30"/>
    <n v="25405"/>
    <n v="762150"/>
  </r>
  <r>
    <n v="61"/>
    <x v="3"/>
    <x v="2"/>
    <x v="10"/>
    <x v="0"/>
    <s v="Customer_13"/>
    <x v="52"/>
    <x v="10"/>
    <n v="13"/>
    <n v="41139"/>
    <n v="534807"/>
  </r>
  <r>
    <n v="62"/>
    <x v="3"/>
    <x v="0"/>
    <x v="15"/>
    <x v="3"/>
    <s v="Customer_7"/>
    <x v="53"/>
    <x v="7"/>
    <n v="36"/>
    <n v="40396"/>
    <n v="1454256"/>
  </r>
  <r>
    <n v="63"/>
    <x v="1"/>
    <x v="0"/>
    <x v="2"/>
    <x v="5"/>
    <s v="Customer_18"/>
    <x v="54"/>
    <x v="10"/>
    <n v="31"/>
    <n v="36134"/>
    <n v="1120154"/>
  </r>
  <r>
    <n v="64"/>
    <x v="0"/>
    <x v="0"/>
    <x v="6"/>
    <x v="0"/>
    <s v="Customer_6"/>
    <x v="55"/>
    <x v="0"/>
    <n v="14"/>
    <n v="1044"/>
    <n v="14616"/>
  </r>
  <r>
    <n v="65"/>
    <x v="1"/>
    <x v="0"/>
    <x v="0"/>
    <x v="1"/>
    <s v="Customer_18"/>
    <x v="56"/>
    <x v="3"/>
    <n v="47"/>
    <n v="30665"/>
    <n v="1441255"/>
  </r>
  <r>
    <n v="66"/>
    <x v="4"/>
    <x v="0"/>
    <x v="1"/>
    <x v="0"/>
    <s v="Customer_9"/>
    <x v="57"/>
    <x v="7"/>
    <n v="13"/>
    <n v="14072"/>
    <n v="182936"/>
  </r>
  <r>
    <n v="67"/>
    <x v="1"/>
    <x v="1"/>
    <x v="0"/>
    <x v="4"/>
    <s v="Customer_4"/>
    <x v="58"/>
    <x v="11"/>
    <n v="21"/>
    <n v="9538"/>
    <n v="200298"/>
  </r>
  <r>
    <n v="68"/>
    <x v="3"/>
    <x v="0"/>
    <x v="6"/>
    <x v="2"/>
    <s v="Customer_18"/>
    <x v="59"/>
    <x v="11"/>
    <n v="2"/>
    <n v="15858"/>
    <n v="31716"/>
  </r>
  <r>
    <n v="69"/>
    <x v="3"/>
    <x v="0"/>
    <x v="3"/>
    <x v="0"/>
    <s v="Customer_18"/>
    <x v="60"/>
    <x v="1"/>
    <n v="37"/>
    <n v="33596"/>
    <n v="1243052"/>
  </r>
  <r>
    <n v="70"/>
    <x v="3"/>
    <x v="2"/>
    <x v="13"/>
    <x v="2"/>
    <s v="Customer_13"/>
    <x v="61"/>
    <x v="10"/>
    <n v="19"/>
    <n v="48358"/>
    <n v="918802"/>
  </r>
  <r>
    <n v="71"/>
    <x v="1"/>
    <x v="0"/>
    <x v="10"/>
    <x v="5"/>
    <s v="Customer_10"/>
    <x v="62"/>
    <x v="8"/>
    <n v="19"/>
    <n v="23172"/>
    <n v="440268"/>
  </r>
  <r>
    <n v="72"/>
    <x v="2"/>
    <x v="2"/>
    <x v="4"/>
    <x v="2"/>
    <s v="Customer_11"/>
    <x v="63"/>
    <x v="2"/>
    <n v="41"/>
    <n v="28583"/>
    <n v="1171903"/>
  </r>
  <r>
    <n v="73"/>
    <x v="2"/>
    <x v="1"/>
    <x v="6"/>
    <x v="2"/>
    <s v="Customer_4"/>
    <x v="64"/>
    <x v="2"/>
    <n v="13"/>
    <n v="15560"/>
    <n v="202280"/>
  </r>
  <r>
    <n v="74"/>
    <x v="3"/>
    <x v="1"/>
    <x v="3"/>
    <x v="2"/>
    <s v="Customer_16"/>
    <x v="65"/>
    <x v="7"/>
    <n v="15"/>
    <n v="31094"/>
    <n v="466410"/>
  </r>
  <r>
    <n v="75"/>
    <x v="3"/>
    <x v="2"/>
    <x v="13"/>
    <x v="0"/>
    <s v="Customer_18"/>
    <x v="66"/>
    <x v="3"/>
    <n v="41"/>
    <n v="27719"/>
    <n v="1136479"/>
  </r>
  <r>
    <n v="76"/>
    <x v="4"/>
    <x v="1"/>
    <x v="8"/>
    <x v="5"/>
    <s v="Customer_19"/>
    <x v="8"/>
    <x v="7"/>
    <n v="12"/>
    <n v="27545"/>
    <n v="330540"/>
  </r>
  <r>
    <n v="77"/>
    <x v="4"/>
    <x v="0"/>
    <x v="9"/>
    <x v="1"/>
    <s v="Customer_4"/>
    <x v="67"/>
    <x v="8"/>
    <n v="19"/>
    <n v="7865"/>
    <n v="149435"/>
  </r>
  <r>
    <n v="78"/>
    <x v="3"/>
    <x v="1"/>
    <x v="4"/>
    <x v="4"/>
    <s v="Customer_17"/>
    <x v="68"/>
    <x v="0"/>
    <n v="48"/>
    <n v="18469"/>
    <n v="886512"/>
  </r>
  <r>
    <n v="79"/>
    <x v="1"/>
    <x v="1"/>
    <x v="5"/>
    <x v="1"/>
    <s v="Customer_12"/>
    <x v="25"/>
    <x v="6"/>
    <n v="22"/>
    <n v="16514"/>
    <n v="363308"/>
  </r>
  <r>
    <n v="80"/>
    <x v="0"/>
    <x v="0"/>
    <x v="6"/>
    <x v="3"/>
    <s v="Customer_11"/>
    <x v="69"/>
    <x v="7"/>
    <n v="10"/>
    <n v="40741"/>
    <n v="407410"/>
  </r>
  <r>
    <n v="81"/>
    <x v="0"/>
    <x v="0"/>
    <x v="11"/>
    <x v="1"/>
    <s v="Customer_13"/>
    <x v="70"/>
    <x v="8"/>
    <n v="10"/>
    <n v="33360"/>
    <n v="333600"/>
  </r>
  <r>
    <n v="82"/>
    <x v="0"/>
    <x v="2"/>
    <x v="2"/>
    <x v="3"/>
    <s v="Customer_16"/>
    <x v="71"/>
    <x v="4"/>
    <n v="9"/>
    <n v="1301"/>
    <n v="11709"/>
  </r>
  <r>
    <n v="83"/>
    <x v="0"/>
    <x v="2"/>
    <x v="15"/>
    <x v="0"/>
    <s v="Customer_19"/>
    <x v="72"/>
    <x v="5"/>
    <n v="4"/>
    <n v="32807"/>
    <n v="131228"/>
  </r>
  <r>
    <n v="84"/>
    <x v="1"/>
    <x v="2"/>
    <x v="5"/>
    <x v="1"/>
    <s v="Customer_4"/>
    <x v="73"/>
    <x v="9"/>
    <n v="33"/>
    <n v="8291"/>
    <n v="273603"/>
  </r>
  <r>
    <n v="85"/>
    <x v="3"/>
    <x v="0"/>
    <x v="7"/>
    <x v="1"/>
    <s v="Customer_15"/>
    <x v="49"/>
    <x v="0"/>
    <n v="24"/>
    <n v="36688"/>
    <n v="880512"/>
  </r>
  <r>
    <n v="86"/>
    <x v="3"/>
    <x v="0"/>
    <x v="0"/>
    <x v="5"/>
    <s v="Customer_20"/>
    <x v="74"/>
    <x v="6"/>
    <n v="37"/>
    <n v="44220"/>
    <n v="1636140"/>
  </r>
  <r>
    <n v="87"/>
    <x v="2"/>
    <x v="2"/>
    <x v="6"/>
    <x v="2"/>
    <s v="Customer_18"/>
    <x v="75"/>
    <x v="9"/>
    <n v="44"/>
    <n v="36703"/>
    <n v="1614932"/>
  </r>
  <r>
    <n v="88"/>
    <x v="4"/>
    <x v="0"/>
    <x v="1"/>
    <x v="3"/>
    <s v="Customer_18"/>
    <x v="76"/>
    <x v="5"/>
    <n v="47"/>
    <n v="19317"/>
    <n v="907899"/>
  </r>
  <r>
    <n v="89"/>
    <x v="0"/>
    <x v="1"/>
    <x v="7"/>
    <x v="0"/>
    <s v="Customer_8"/>
    <x v="60"/>
    <x v="1"/>
    <n v="28"/>
    <n v="20282"/>
    <n v="567896"/>
  </r>
  <r>
    <n v="90"/>
    <x v="4"/>
    <x v="1"/>
    <x v="4"/>
    <x v="1"/>
    <s v="Customer_8"/>
    <x v="47"/>
    <x v="2"/>
    <n v="26"/>
    <n v="38112"/>
    <n v="990912"/>
  </r>
  <r>
    <n v="91"/>
    <x v="2"/>
    <x v="1"/>
    <x v="8"/>
    <x v="4"/>
    <s v="Customer_14"/>
    <x v="77"/>
    <x v="9"/>
    <n v="34"/>
    <n v="6813"/>
    <n v="231642"/>
  </r>
  <r>
    <n v="92"/>
    <x v="2"/>
    <x v="2"/>
    <x v="10"/>
    <x v="4"/>
    <s v="Customer_16"/>
    <x v="78"/>
    <x v="1"/>
    <n v="41"/>
    <n v="10410"/>
    <n v="426810"/>
  </r>
  <r>
    <n v="93"/>
    <x v="4"/>
    <x v="1"/>
    <x v="4"/>
    <x v="0"/>
    <s v="Customer_10"/>
    <x v="79"/>
    <x v="9"/>
    <n v="5"/>
    <n v="39549"/>
    <n v="197745"/>
  </r>
  <r>
    <n v="94"/>
    <x v="4"/>
    <x v="2"/>
    <x v="9"/>
    <x v="5"/>
    <s v="Customer_19"/>
    <x v="80"/>
    <x v="0"/>
    <n v="5"/>
    <n v="39386"/>
    <n v="196930"/>
  </r>
  <r>
    <n v="95"/>
    <x v="0"/>
    <x v="2"/>
    <x v="13"/>
    <x v="4"/>
    <s v="Customer_18"/>
    <x v="81"/>
    <x v="10"/>
    <n v="2"/>
    <n v="30739"/>
    <n v="61478"/>
  </r>
  <r>
    <n v="96"/>
    <x v="4"/>
    <x v="1"/>
    <x v="12"/>
    <x v="2"/>
    <s v="Customer_14"/>
    <x v="82"/>
    <x v="2"/>
    <n v="48"/>
    <n v="40944"/>
    <n v="1965312"/>
  </r>
  <r>
    <n v="97"/>
    <x v="1"/>
    <x v="1"/>
    <x v="2"/>
    <x v="2"/>
    <s v="Customer_2"/>
    <x v="83"/>
    <x v="0"/>
    <n v="14"/>
    <n v="45758"/>
    <n v="640612"/>
  </r>
  <r>
    <n v="98"/>
    <x v="2"/>
    <x v="2"/>
    <x v="5"/>
    <x v="4"/>
    <s v="Customer_9"/>
    <x v="15"/>
    <x v="2"/>
    <n v="42"/>
    <n v="43788"/>
    <n v="1839096"/>
  </r>
  <r>
    <n v="99"/>
    <x v="2"/>
    <x v="1"/>
    <x v="6"/>
    <x v="2"/>
    <s v="Customer_4"/>
    <x v="84"/>
    <x v="4"/>
    <n v="26"/>
    <n v="7321"/>
    <n v="190346"/>
  </r>
  <r>
    <n v="100"/>
    <x v="4"/>
    <x v="0"/>
    <x v="10"/>
    <x v="4"/>
    <s v="Customer_20"/>
    <x v="85"/>
    <x v="7"/>
    <n v="12"/>
    <n v="8276"/>
    <n v="99312"/>
  </r>
  <r>
    <n v="101"/>
    <x v="3"/>
    <x v="2"/>
    <x v="14"/>
    <x v="5"/>
    <s v="Customer_16"/>
    <x v="53"/>
    <x v="7"/>
    <n v="30"/>
    <n v="43314"/>
    <n v="1299420"/>
  </r>
  <r>
    <n v="102"/>
    <x v="4"/>
    <x v="0"/>
    <x v="7"/>
    <x v="2"/>
    <s v="Customer_12"/>
    <x v="21"/>
    <x v="1"/>
    <n v="3"/>
    <n v="9540"/>
    <n v="28620"/>
  </r>
  <r>
    <n v="103"/>
    <x v="0"/>
    <x v="1"/>
    <x v="12"/>
    <x v="4"/>
    <s v="Customer_8"/>
    <x v="86"/>
    <x v="7"/>
    <n v="50"/>
    <n v="33955"/>
    <n v="1697750"/>
  </r>
  <r>
    <n v="104"/>
    <x v="2"/>
    <x v="2"/>
    <x v="4"/>
    <x v="2"/>
    <s v="Customer_13"/>
    <x v="87"/>
    <x v="3"/>
    <n v="21"/>
    <n v="33635"/>
    <n v="706335"/>
  </r>
  <r>
    <n v="105"/>
    <x v="4"/>
    <x v="1"/>
    <x v="4"/>
    <x v="3"/>
    <s v="Customer_16"/>
    <x v="88"/>
    <x v="6"/>
    <n v="21"/>
    <n v="27242"/>
    <n v="572082"/>
  </r>
  <r>
    <n v="106"/>
    <x v="0"/>
    <x v="2"/>
    <x v="8"/>
    <x v="4"/>
    <s v="Customer_11"/>
    <x v="89"/>
    <x v="1"/>
    <n v="33"/>
    <n v="8092"/>
    <n v="267036"/>
  </r>
  <r>
    <n v="107"/>
    <x v="3"/>
    <x v="0"/>
    <x v="4"/>
    <x v="3"/>
    <s v="Customer_2"/>
    <x v="90"/>
    <x v="8"/>
    <n v="41"/>
    <n v="20866"/>
    <n v="855506"/>
  </r>
  <r>
    <n v="108"/>
    <x v="2"/>
    <x v="1"/>
    <x v="0"/>
    <x v="4"/>
    <s v="Customer_15"/>
    <x v="12"/>
    <x v="5"/>
    <n v="13"/>
    <n v="36527"/>
    <n v="474851"/>
  </r>
  <r>
    <n v="109"/>
    <x v="0"/>
    <x v="0"/>
    <x v="2"/>
    <x v="0"/>
    <s v="Customer_9"/>
    <x v="91"/>
    <x v="3"/>
    <n v="1"/>
    <n v="27091"/>
    <n v="27091"/>
  </r>
  <r>
    <n v="110"/>
    <x v="2"/>
    <x v="1"/>
    <x v="10"/>
    <x v="3"/>
    <s v="Customer_8"/>
    <x v="92"/>
    <x v="10"/>
    <n v="29"/>
    <n v="25726"/>
    <n v="746054"/>
  </r>
  <r>
    <n v="111"/>
    <x v="2"/>
    <x v="1"/>
    <x v="2"/>
    <x v="2"/>
    <s v="Customer_10"/>
    <x v="93"/>
    <x v="6"/>
    <n v="19"/>
    <n v="33372"/>
    <n v="634068"/>
  </r>
  <r>
    <n v="112"/>
    <x v="0"/>
    <x v="2"/>
    <x v="10"/>
    <x v="1"/>
    <s v="Customer_5"/>
    <x v="94"/>
    <x v="4"/>
    <n v="25"/>
    <n v="21554"/>
    <n v="538850"/>
  </r>
  <r>
    <n v="113"/>
    <x v="3"/>
    <x v="1"/>
    <x v="11"/>
    <x v="5"/>
    <s v="Customer_16"/>
    <x v="82"/>
    <x v="2"/>
    <n v="18"/>
    <n v="22217"/>
    <n v="399906"/>
  </r>
  <r>
    <n v="114"/>
    <x v="1"/>
    <x v="0"/>
    <x v="9"/>
    <x v="1"/>
    <s v="Customer_17"/>
    <x v="95"/>
    <x v="1"/>
    <n v="38"/>
    <n v="35560"/>
    <n v="1351280"/>
  </r>
  <r>
    <n v="115"/>
    <x v="3"/>
    <x v="1"/>
    <x v="12"/>
    <x v="3"/>
    <s v="Customer_16"/>
    <x v="96"/>
    <x v="8"/>
    <n v="10"/>
    <n v="35135"/>
    <n v="351350"/>
  </r>
  <r>
    <n v="116"/>
    <x v="1"/>
    <x v="0"/>
    <x v="12"/>
    <x v="1"/>
    <s v="Customer_20"/>
    <x v="97"/>
    <x v="8"/>
    <n v="26"/>
    <n v="19143"/>
    <n v="497718"/>
  </r>
  <r>
    <n v="117"/>
    <x v="4"/>
    <x v="1"/>
    <x v="0"/>
    <x v="3"/>
    <s v="Customer_14"/>
    <x v="9"/>
    <x v="8"/>
    <n v="1"/>
    <n v="24373"/>
    <n v="24373"/>
  </r>
  <r>
    <n v="118"/>
    <x v="2"/>
    <x v="1"/>
    <x v="6"/>
    <x v="4"/>
    <s v="Customer_3"/>
    <x v="98"/>
    <x v="5"/>
    <n v="17"/>
    <n v="21296"/>
    <n v="362032"/>
  </r>
  <r>
    <n v="119"/>
    <x v="2"/>
    <x v="1"/>
    <x v="3"/>
    <x v="2"/>
    <s v="Customer_7"/>
    <x v="99"/>
    <x v="3"/>
    <n v="13"/>
    <n v="44701"/>
    <n v="581113"/>
  </r>
  <r>
    <n v="120"/>
    <x v="0"/>
    <x v="1"/>
    <x v="7"/>
    <x v="1"/>
    <s v="Customer_12"/>
    <x v="100"/>
    <x v="6"/>
    <n v="49"/>
    <n v="26113"/>
    <n v="1279537"/>
  </r>
  <r>
    <n v="121"/>
    <x v="3"/>
    <x v="2"/>
    <x v="13"/>
    <x v="2"/>
    <s v="Customer_18"/>
    <x v="101"/>
    <x v="4"/>
    <n v="38"/>
    <n v="22445"/>
    <n v="852910"/>
  </r>
  <r>
    <n v="122"/>
    <x v="0"/>
    <x v="0"/>
    <x v="0"/>
    <x v="1"/>
    <s v="Customer_5"/>
    <x v="102"/>
    <x v="11"/>
    <n v="30"/>
    <n v="6826"/>
    <n v="204780"/>
  </r>
  <r>
    <n v="123"/>
    <x v="0"/>
    <x v="0"/>
    <x v="11"/>
    <x v="0"/>
    <s v="Customer_6"/>
    <x v="17"/>
    <x v="8"/>
    <n v="30"/>
    <n v="37649"/>
    <n v="1129470"/>
  </r>
  <r>
    <n v="124"/>
    <x v="0"/>
    <x v="1"/>
    <x v="15"/>
    <x v="0"/>
    <s v="Customer_16"/>
    <x v="9"/>
    <x v="8"/>
    <n v="48"/>
    <n v="20806"/>
    <n v="998688"/>
  </r>
  <r>
    <n v="125"/>
    <x v="3"/>
    <x v="2"/>
    <x v="9"/>
    <x v="3"/>
    <s v="Customer_15"/>
    <x v="103"/>
    <x v="4"/>
    <n v="19"/>
    <n v="47794"/>
    <n v="908086"/>
  </r>
  <r>
    <n v="126"/>
    <x v="3"/>
    <x v="2"/>
    <x v="11"/>
    <x v="0"/>
    <s v="Customer_7"/>
    <x v="104"/>
    <x v="5"/>
    <n v="14"/>
    <n v="24904"/>
    <n v="348656"/>
  </r>
  <r>
    <n v="127"/>
    <x v="0"/>
    <x v="1"/>
    <x v="10"/>
    <x v="4"/>
    <s v="Customer_13"/>
    <x v="93"/>
    <x v="6"/>
    <n v="48"/>
    <n v="25141"/>
    <n v="1206768"/>
  </r>
  <r>
    <n v="128"/>
    <x v="1"/>
    <x v="1"/>
    <x v="2"/>
    <x v="1"/>
    <s v="Customer_14"/>
    <x v="105"/>
    <x v="0"/>
    <n v="5"/>
    <n v="5751"/>
    <n v="28755"/>
  </r>
  <r>
    <n v="129"/>
    <x v="3"/>
    <x v="2"/>
    <x v="7"/>
    <x v="3"/>
    <s v="Customer_6"/>
    <x v="106"/>
    <x v="5"/>
    <n v="33"/>
    <n v="22297"/>
    <n v="735801"/>
  </r>
  <r>
    <n v="130"/>
    <x v="2"/>
    <x v="0"/>
    <x v="12"/>
    <x v="2"/>
    <s v="Customer_9"/>
    <x v="107"/>
    <x v="3"/>
    <n v="33"/>
    <n v="46153"/>
    <n v="1523049"/>
  </r>
  <r>
    <n v="131"/>
    <x v="4"/>
    <x v="2"/>
    <x v="0"/>
    <x v="2"/>
    <s v="Customer_9"/>
    <x v="6"/>
    <x v="5"/>
    <n v="2"/>
    <n v="17312"/>
    <n v="34624"/>
  </r>
  <r>
    <n v="132"/>
    <x v="1"/>
    <x v="1"/>
    <x v="11"/>
    <x v="2"/>
    <s v="Customer_2"/>
    <x v="108"/>
    <x v="5"/>
    <n v="26"/>
    <n v="15690"/>
    <n v="407940"/>
  </r>
  <r>
    <n v="133"/>
    <x v="1"/>
    <x v="1"/>
    <x v="3"/>
    <x v="1"/>
    <s v="Customer_10"/>
    <x v="109"/>
    <x v="8"/>
    <n v="2"/>
    <n v="22988"/>
    <n v="45976"/>
  </r>
  <r>
    <n v="134"/>
    <x v="3"/>
    <x v="1"/>
    <x v="3"/>
    <x v="4"/>
    <s v="Customer_20"/>
    <x v="110"/>
    <x v="10"/>
    <n v="37"/>
    <n v="47504"/>
    <n v="1757648"/>
  </r>
  <r>
    <n v="135"/>
    <x v="1"/>
    <x v="1"/>
    <x v="3"/>
    <x v="5"/>
    <s v="Customer_11"/>
    <x v="111"/>
    <x v="9"/>
    <n v="34"/>
    <n v="36894"/>
    <n v="1254396"/>
  </r>
  <r>
    <n v="136"/>
    <x v="4"/>
    <x v="1"/>
    <x v="4"/>
    <x v="3"/>
    <s v="Customer_6"/>
    <x v="80"/>
    <x v="0"/>
    <n v="1"/>
    <n v="20117"/>
    <n v="20117"/>
  </r>
  <r>
    <n v="137"/>
    <x v="0"/>
    <x v="0"/>
    <x v="11"/>
    <x v="0"/>
    <s v="Customer_8"/>
    <x v="67"/>
    <x v="8"/>
    <n v="10"/>
    <n v="41957"/>
    <n v="419570"/>
  </r>
  <r>
    <n v="138"/>
    <x v="2"/>
    <x v="0"/>
    <x v="6"/>
    <x v="2"/>
    <s v="Customer_13"/>
    <x v="43"/>
    <x v="4"/>
    <n v="42"/>
    <n v="34912"/>
    <n v="1466304"/>
  </r>
  <r>
    <n v="139"/>
    <x v="3"/>
    <x v="2"/>
    <x v="9"/>
    <x v="4"/>
    <s v="Customer_19"/>
    <x v="112"/>
    <x v="2"/>
    <n v="47"/>
    <n v="2897"/>
    <n v="136159"/>
  </r>
  <r>
    <n v="140"/>
    <x v="1"/>
    <x v="2"/>
    <x v="3"/>
    <x v="3"/>
    <s v="Customer_11"/>
    <x v="113"/>
    <x v="11"/>
    <n v="11"/>
    <n v="17908"/>
    <n v="196988"/>
  </r>
  <r>
    <n v="141"/>
    <x v="0"/>
    <x v="0"/>
    <x v="13"/>
    <x v="1"/>
    <s v="Customer_19"/>
    <x v="11"/>
    <x v="0"/>
    <n v="30"/>
    <n v="43650"/>
    <n v="1309500"/>
  </r>
  <r>
    <n v="142"/>
    <x v="1"/>
    <x v="2"/>
    <x v="10"/>
    <x v="2"/>
    <s v="Customer_9"/>
    <x v="19"/>
    <x v="8"/>
    <n v="30"/>
    <n v="12118"/>
    <n v="363540"/>
  </r>
  <r>
    <n v="143"/>
    <x v="1"/>
    <x v="2"/>
    <x v="12"/>
    <x v="0"/>
    <s v="Customer_6"/>
    <x v="11"/>
    <x v="0"/>
    <n v="6"/>
    <n v="33699"/>
    <n v="202194"/>
  </r>
  <r>
    <n v="144"/>
    <x v="1"/>
    <x v="2"/>
    <x v="8"/>
    <x v="3"/>
    <s v="Customer_20"/>
    <x v="114"/>
    <x v="10"/>
    <n v="6"/>
    <n v="43558"/>
    <n v="261348"/>
  </r>
  <r>
    <n v="145"/>
    <x v="0"/>
    <x v="0"/>
    <x v="2"/>
    <x v="1"/>
    <s v="Customer_16"/>
    <x v="115"/>
    <x v="0"/>
    <n v="31"/>
    <n v="39853"/>
    <n v="1235443"/>
  </r>
  <r>
    <n v="146"/>
    <x v="2"/>
    <x v="2"/>
    <x v="9"/>
    <x v="4"/>
    <s v="Customer_11"/>
    <x v="116"/>
    <x v="8"/>
    <n v="49"/>
    <n v="38240"/>
    <n v="1873760"/>
  </r>
  <r>
    <n v="147"/>
    <x v="3"/>
    <x v="2"/>
    <x v="3"/>
    <x v="4"/>
    <s v="Customer_20"/>
    <x v="117"/>
    <x v="2"/>
    <n v="24"/>
    <n v="13843"/>
    <n v="332232"/>
  </r>
  <r>
    <n v="148"/>
    <x v="0"/>
    <x v="2"/>
    <x v="14"/>
    <x v="3"/>
    <s v="Customer_1"/>
    <x v="1"/>
    <x v="1"/>
    <n v="10"/>
    <n v="48098"/>
    <n v="480980"/>
  </r>
  <r>
    <n v="149"/>
    <x v="1"/>
    <x v="1"/>
    <x v="12"/>
    <x v="3"/>
    <s v="Customer_11"/>
    <x v="118"/>
    <x v="4"/>
    <n v="18"/>
    <n v="17809"/>
    <n v="320562"/>
  </r>
  <r>
    <n v="150"/>
    <x v="1"/>
    <x v="2"/>
    <x v="7"/>
    <x v="1"/>
    <s v="Customer_16"/>
    <x v="119"/>
    <x v="7"/>
    <n v="32"/>
    <n v="2848"/>
    <n v="91136"/>
  </r>
  <r>
    <n v="151"/>
    <x v="1"/>
    <x v="1"/>
    <x v="0"/>
    <x v="2"/>
    <s v="Customer_16"/>
    <x v="120"/>
    <x v="4"/>
    <n v="18"/>
    <n v="43244"/>
    <n v="778392"/>
  </r>
  <r>
    <n v="152"/>
    <x v="3"/>
    <x v="2"/>
    <x v="8"/>
    <x v="4"/>
    <s v="Customer_7"/>
    <x v="81"/>
    <x v="10"/>
    <n v="13"/>
    <n v="29241"/>
    <n v="380133"/>
  </r>
  <r>
    <n v="153"/>
    <x v="3"/>
    <x v="1"/>
    <x v="3"/>
    <x v="3"/>
    <s v="Customer_4"/>
    <x v="121"/>
    <x v="0"/>
    <n v="50"/>
    <n v="46329"/>
    <n v="2316450"/>
  </r>
  <r>
    <n v="154"/>
    <x v="4"/>
    <x v="0"/>
    <x v="4"/>
    <x v="0"/>
    <s v="Customer_20"/>
    <x v="122"/>
    <x v="2"/>
    <n v="13"/>
    <n v="23475"/>
    <n v="305175"/>
  </r>
  <r>
    <n v="155"/>
    <x v="2"/>
    <x v="0"/>
    <x v="10"/>
    <x v="1"/>
    <s v="Customer_20"/>
    <x v="54"/>
    <x v="10"/>
    <n v="28"/>
    <n v="24082"/>
    <n v="674296"/>
  </r>
  <r>
    <n v="156"/>
    <x v="1"/>
    <x v="0"/>
    <x v="2"/>
    <x v="4"/>
    <s v="Customer_20"/>
    <x v="123"/>
    <x v="11"/>
    <n v="10"/>
    <n v="49220"/>
    <n v="492200"/>
  </r>
  <r>
    <n v="157"/>
    <x v="4"/>
    <x v="2"/>
    <x v="3"/>
    <x v="0"/>
    <s v="Customer_15"/>
    <x v="99"/>
    <x v="3"/>
    <n v="46"/>
    <n v="48792"/>
    <n v="2244432"/>
  </r>
  <r>
    <n v="158"/>
    <x v="0"/>
    <x v="2"/>
    <x v="0"/>
    <x v="3"/>
    <s v="Customer_1"/>
    <x v="124"/>
    <x v="8"/>
    <n v="33"/>
    <n v="48619"/>
    <n v="1604427"/>
  </r>
  <r>
    <n v="159"/>
    <x v="1"/>
    <x v="0"/>
    <x v="11"/>
    <x v="3"/>
    <s v="Customer_8"/>
    <x v="17"/>
    <x v="8"/>
    <n v="7"/>
    <n v="34381"/>
    <n v="240667"/>
  </r>
  <r>
    <n v="160"/>
    <x v="0"/>
    <x v="0"/>
    <x v="14"/>
    <x v="5"/>
    <s v="Customer_10"/>
    <x v="125"/>
    <x v="9"/>
    <n v="25"/>
    <n v="15597"/>
    <n v="389925"/>
  </r>
  <r>
    <n v="161"/>
    <x v="3"/>
    <x v="0"/>
    <x v="6"/>
    <x v="4"/>
    <s v="Customer_14"/>
    <x v="14"/>
    <x v="4"/>
    <n v="6"/>
    <n v="38356"/>
    <n v="230136"/>
  </r>
  <r>
    <n v="162"/>
    <x v="4"/>
    <x v="0"/>
    <x v="0"/>
    <x v="2"/>
    <s v="Customer_16"/>
    <x v="126"/>
    <x v="5"/>
    <n v="19"/>
    <n v="10644"/>
    <n v="202236"/>
  </r>
  <r>
    <n v="163"/>
    <x v="2"/>
    <x v="1"/>
    <x v="5"/>
    <x v="1"/>
    <s v="Customer_3"/>
    <x v="101"/>
    <x v="4"/>
    <n v="22"/>
    <n v="8653"/>
    <n v="190366"/>
  </r>
  <r>
    <n v="164"/>
    <x v="0"/>
    <x v="2"/>
    <x v="5"/>
    <x v="3"/>
    <s v="Customer_15"/>
    <x v="108"/>
    <x v="5"/>
    <n v="41"/>
    <n v="41703"/>
    <n v="1709823"/>
  </r>
  <r>
    <n v="165"/>
    <x v="3"/>
    <x v="2"/>
    <x v="3"/>
    <x v="3"/>
    <s v="Customer_15"/>
    <x v="127"/>
    <x v="11"/>
    <n v="4"/>
    <n v="8813"/>
    <n v="35252"/>
  </r>
  <r>
    <n v="166"/>
    <x v="4"/>
    <x v="0"/>
    <x v="6"/>
    <x v="0"/>
    <s v="Customer_15"/>
    <x v="122"/>
    <x v="2"/>
    <n v="12"/>
    <n v="20075"/>
    <n v="240900"/>
  </r>
  <r>
    <n v="167"/>
    <x v="4"/>
    <x v="2"/>
    <x v="14"/>
    <x v="3"/>
    <s v="Customer_5"/>
    <x v="128"/>
    <x v="4"/>
    <n v="48"/>
    <n v="20330"/>
    <n v="975840"/>
  </r>
  <r>
    <n v="168"/>
    <x v="0"/>
    <x v="1"/>
    <x v="9"/>
    <x v="5"/>
    <s v="Customer_18"/>
    <x v="36"/>
    <x v="3"/>
    <n v="37"/>
    <n v="32576"/>
    <n v="1205312"/>
  </r>
  <r>
    <n v="169"/>
    <x v="2"/>
    <x v="0"/>
    <x v="8"/>
    <x v="1"/>
    <s v="Customer_4"/>
    <x v="129"/>
    <x v="9"/>
    <n v="40"/>
    <n v="43206"/>
    <n v="1728240"/>
  </r>
  <r>
    <n v="170"/>
    <x v="0"/>
    <x v="2"/>
    <x v="5"/>
    <x v="5"/>
    <s v="Customer_3"/>
    <x v="122"/>
    <x v="2"/>
    <n v="37"/>
    <n v="48550"/>
    <n v="1796350"/>
  </r>
  <r>
    <n v="171"/>
    <x v="0"/>
    <x v="1"/>
    <x v="12"/>
    <x v="5"/>
    <s v="Customer_17"/>
    <x v="45"/>
    <x v="5"/>
    <n v="44"/>
    <n v="45549"/>
    <n v="2004156"/>
  </r>
  <r>
    <n v="172"/>
    <x v="2"/>
    <x v="2"/>
    <x v="13"/>
    <x v="4"/>
    <s v="Customer_5"/>
    <x v="19"/>
    <x v="8"/>
    <n v="33"/>
    <n v="33870"/>
    <n v="1117710"/>
  </r>
  <r>
    <n v="173"/>
    <x v="4"/>
    <x v="2"/>
    <x v="3"/>
    <x v="1"/>
    <s v="Customer_20"/>
    <x v="29"/>
    <x v="0"/>
    <n v="34"/>
    <n v="3740"/>
    <n v="127160"/>
  </r>
  <r>
    <n v="174"/>
    <x v="3"/>
    <x v="0"/>
    <x v="1"/>
    <x v="5"/>
    <s v="Customer_11"/>
    <x v="130"/>
    <x v="2"/>
    <n v="39"/>
    <n v="48714"/>
    <n v="1899846"/>
  </r>
  <r>
    <n v="175"/>
    <x v="0"/>
    <x v="2"/>
    <x v="11"/>
    <x v="1"/>
    <s v="Customer_14"/>
    <x v="131"/>
    <x v="9"/>
    <n v="16"/>
    <n v="1076"/>
    <n v="17216"/>
  </r>
  <r>
    <n v="176"/>
    <x v="1"/>
    <x v="1"/>
    <x v="12"/>
    <x v="3"/>
    <s v="Customer_17"/>
    <x v="0"/>
    <x v="0"/>
    <n v="14"/>
    <n v="48208"/>
    <n v="674912"/>
  </r>
  <r>
    <n v="177"/>
    <x v="4"/>
    <x v="1"/>
    <x v="15"/>
    <x v="0"/>
    <s v="Customer_11"/>
    <x v="132"/>
    <x v="6"/>
    <n v="17"/>
    <n v="12201"/>
    <n v="207417"/>
  </r>
  <r>
    <n v="178"/>
    <x v="3"/>
    <x v="0"/>
    <x v="12"/>
    <x v="0"/>
    <s v="Customer_12"/>
    <x v="133"/>
    <x v="4"/>
    <n v="50"/>
    <n v="9512"/>
    <n v="475600"/>
  </r>
  <r>
    <n v="179"/>
    <x v="1"/>
    <x v="2"/>
    <x v="14"/>
    <x v="3"/>
    <s v="Customer_14"/>
    <x v="125"/>
    <x v="9"/>
    <n v="29"/>
    <n v="25272"/>
    <n v="732888"/>
  </r>
  <r>
    <n v="180"/>
    <x v="0"/>
    <x v="2"/>
    <x v="14"/>
    <x v="1"/>
    <s v="Customer_18"/>
    <x v="61"/>
    <x v="10"/>
    <n v="18"/>
    <n v="47875"/>
    <n v="861750"/>
  </r>
  <r>
    <n v="181"/>
    <x v="1"/>
    <x v="0"/>
    <x v="8"/>
    <x v="0"/>
    <s v="Customer_16"/>
    <x v="134"/>
    <x v="5"/>
    <n v="2"/>
    <n v="21213"/>
    <n v="42426"/>
  </r>
  <r>
    <n v="182"/>
    <x v="1"/>
    <x v="2"/>
    <x v="1"/>
    <x v="0"/>
    <s v="Customer_16"/>
    <x v="59"/>
    <x v="11"/>
    <n v="22"/>
    <n v="47127"/>
    <n v="1036794"/>
  </r>
  <r>
    <n v="183"/>
    <x v="4"/>
    <x v="2"/>
    <x v="14"/>
    <x v="1"/>
    <s v="Customer_14"/>
    <x v="68"/>
    <x v="0"/>
    <n v="18"/>
    <n v="25663"/>
    <n v="461934"/>
  </r>
  <r>
    <n v="184"/>
    <x v="1"/>
    <x v="0"/>
    <x v="11"/>
    <x v="0"/>
    <s v="Customer_14"/>
    <x v="135"/>
    <x v="5"/>
    <n v="40"/>
    <n v="18474"/>
    <n v="738960"/>
  </r>
  <r>
    <n v="185"/>
    <x v="1"/>
    <x v="1"/>
    <x v="12"/>
    <x v="1"/>
    <s v="Customer_13"/>
    <x v="136"/>
    <x v="11"/>
    <n v="43"/>
    <n v="5143"/>
    <n v="221149"/>
  </r>
  <r>
    <n v="186"/>
    <x v="1"/>
    <x v="2"/>
    <x v="12"/>
    <x v="3"/>
    <s v="Customer_4"/>
    <x v="65"/>
    <x v="7"/>
    <n v="23"/>
    <n v="28438"/>
    <n v="654074"/>
  </r>
  <r>
    <n v="187"/>
    <x v="2"/>
    <x v="1"/>
    <x v="14"/>
    <x v="3"/>
    <s v="Customer_5"/>
    <x v="66"/>
    <x v="3"/>
    <n v="4"/>
    <n v="49039"/>
    <n v="196156"/>
  </r>
  <r>
    <n v="188"/>
    <x v="2"/>
    <x v="0"/>
    <x v="15"/>
    <x v="2"/>
    <s v="Customer_8"/>
    <x v="53"/>
    <x v="7"/>
    <n v="14"/>
    <n v="20975"/>
    <n v="293650"/>
  </r>
  <r>
    <n v="189"/>
    <x v="0"/>
    <x v="2"/>
    <x v="13"/>
    <x v="3"/>
    <s v="Customer_17"/>
    <x v="137"/>
    <x v="11"/>
    <n v="39"/>
    <n v="20915"/>
    <n v="815685"/>
  </r>
  <r>
    <n v="190"/>
    <x v="1"/>
    <x v="1"/>
    <x v="11"/>
    <x v="2"/>
    <s v="Customer_10"/>
    <x v="129"/>
    <x v="9"/>
    <n v="32"/>
    <n v="48303"/>
    <n v="1545696"/>
  </r>
  <r>
    <n v="191"/>
    <x v="0"/>
    <x v="2"/>
    <x v="14"/>
    <x v="4"/>
    <s v="Customer_8"/>
    <x v="138"/>
    <x v="3"/>
    <n v="48"/>
    <n v="41266"/>
    <n v="1980768"/>
  </r>
  <r>
    <n v="192"/>
    <x v="1"/>
    <x v="0"/>
    <x v="12"/>
    <x v="4"/>
    <s v="Customer_11"/>
    <x v="139"/>
    <x v="8"/>
    <n v="47"/>
    <n v="31229"/>
    <n v="1467763"/>
  </r>
  <r>
    <n v="193"/>
    <x v="3"/>
    <x v="2"/>
    <x v="10"/>
    <x v="2"/>
    <s v="Customer_12"/>
    <x v="131"/>
    <x v="9"/>
    <n v="26"/>
    <n v="28418"/>
    <n v="738868"/>
  </r>
  <r>
    <n v="194"/>
    <x v="3"/>
    <x v="0"/>
    <x v="7"/>
    <x v="1"/>
    <s v="Customer_13"/>
    <x v="140"/>
    <x v="4"/>
    <n v="25"/>
    <n v="29501"/>
    <n v="737525"/>
  </r>
  <r>
    <n v="195"/>
    <x v="1"/>
    <x v="1"/>
    <x v="11"/>
    <x v="1"/>
    <s v="Customer_8"/>
    <x v="6"/>
    <x v="5"/>
    <n v="37"/>
    <n v="20262"/>
    <n v="749694"/>
  </r>
  <r>
    <n v="196"/>
    <x v="2"/>
    <x v="0"/>
    <x v="14"/>
    <x v="2"/>
    <s v="Customer_4"/>
    <x v="137"/>
    <x v="11"/>
    <n v="1"/>
    <n v="25078"/>
    <n v="25078"/>
  </r>
  <r>
    <n v="197"/>
    <x v="1"/>
    <x v="0"/>
    <x v="13"/>
    <x v="5"/>
    <s v="Customer_12"/>
    <x v="11"/>
    <x v="0"/>
    <n v="16"/>
    <n v="18805"/>
    <n v="300880"/>
  </r>
  <r>
    <n v="198"/>
    <x v="0"/>
    <x v="0"/>
    <x v="2"/>
    <x v="4"/>
    <s v="Customer_10"/>
    <x v="141"/>
    <x v="10"/>
    <n v="16"/>
    <n v="6944"/>
    <n v="111104"/>
  </r>
  <r>
    <n v="199"/>
    <x v="4"/>
    <x v="0"/>
    <x v="0"/>
    <x v="0"/>
    <s v="Customer_6"/>
    <x v="136"/>
    <x v="11"/>
    <n v="33"/>
    <n v="49510"/>
    <n v="1633830"/>
  </r>
  <r>
    <n v="200"/>
    <x v="1"/>
    <x v="1"/>
    <x v="9"/>
    <x v="1"/>
    <s v="Customer_11"/>
    <x v="142"/>
    <x v="1"/>
    <n v="20"/>
    <n v="4415"/>
    <n v="88300"/>
  </r>
  <r>
    <n v="201"/>
    <x v="2"/>
    <x v="0"/>
    <x v="0"/>
    <x v="0"/>
    <s v="Customer_18"/>
    <x v="40"/>
    <x v="6"/>
    <n v="47"/>
    <n v="47279"/>
    <n v="2222113"/>
  </r>
  <r>
    <n v="202"/>
    <x v="2"/>
    <x v="1"/>
    <x v="2"/>
    <x v="5"/>
    <s v="Customer_3"/>
    <x v="143"/>
    <x v="9"/>
    <n v="24"/>
    <n v="19617"/>
    <n v="470808"/>
  </r>
  <r>
    <n v="203"/>
    <x v="3"/>
    <x v="1"/>
    <x v="12"/>
    <x v="5"/>
    <s v="Customer_4"/>
    <x v="144"/>
    <x v="11"/>
    <n v="48"/>
    <n v="15261"/>
    <n v="732528"/>
  </r>
  <r>
    <n v="204"/>
    <x v="1"/>
    <x v="2"/>
    <x v="3"/>
    <x v="1"/>
    <s v="Customer_18"/>
    <x v="145"/>
    <x v="8"/>
    <n v="30"/>
    <n v="5661"/>
    <n v="169830"/>
  </r>
  <r>
    <n v="205"/>
    <x v="4"/>
    <x v="1"/>
    <x v="7"/>
    <x v="0"/>
    <s v="Customer_5"/>
    <x v="53"/>
    <x v="7"/>
    <n v="50"/>
    <n v="29715"/>
    <n v="1485750"/>
  </r>
  <r>
    <n v="206"/>
    <x v="0"/>
    <x v="1"/>
    <x v="2"/>
    <x v="2"/>
    <s v="Customer_17"/>
    <x v="146"/>
    <x v="2"/>
    <n v="5"/>
    <n v="49776"/>
    <n v="248880"/>
  </r>
  <r>
    <n v="207"/>
    <x v="2"/>
    <x v="0"/>
    <x v="4"/>
    <x v="3"/>
    <s v="Customer_3"/>
    <x v="9"/>
    <x v="8"/>
    <n v="13"/>
    <n v="38601"/>
    <n v="501813"/>
  </r>
  <r>
    <n v="208"/>
    <x v="0"/>
    <x v="0"/>
    <x v="0"/>
    <x v="1"/>
    <s v="Customer_12"/>
    <x v="147"/>
    <x v="3"/>
    <n v="45"/>
    <n v="16195"/>
    <n v="728775"/>
  </r>
  <r>
    <n v="209"/>
    <x v="4"/>
    <x v="0"/>
    <x v="14"/>
    <x v="5"/>
    <s v="Customer_18"/>
    <x v="103"/>
    <x v="4"/>
    <n v="29"/>
    <n v="39081"/>
    <n v="1133349"/>
  </r>
  <r>
    <n v="210"/>
    <x v="1"/>
    <x v="1"/>
    <x v="4"/>
    <x v="1"/>
    <s v="Customer_19"/>
    <x v="47"/>
    <x v="2"/>
    <n v="10"/>
    <n v="37599"/>
    <n v="375990"/>
  </r>
  <r>
    <n v="211"/>
    <x v="3"/>
    <x v="2"/>
    <x v="6"/>
    <x v="4"/>
    <s v="Customer_18"/>
    <x v="148"/>
    <x v="10"/>
    <n v="35"/>
    <n v="29538"/>
    <n v="1033830"/>
  </r>
  <r>
    <n v="212"/>
    <x v="1"/>
    <x v="0"/>
    <x v="3"/>
    <x v="4"/>
    <s v="Customer_19"/>
    <x v="39"/>
    <x v="6"/>
    <n v="48"/>
    <n v="22470"/>
    <n v="1078560"/>
  </r>
  <r>
    <n v="213"/>
    <x v="3"/>
    <x v="0"/>
    <x v="2"/>
    <x v="5"/>
    <s v="Customer_19"/>
    <x v="121"/>
    <x v="0"/>
    <n v="26"/>
    <n v="23536"/>
    <n v="611936"/>
  </r>
  <r>
    <n v="214"/>
    <x v="0"/>
    <x v="1"/>
    <x v="12"/>
    <x v="1"/>
    <s v="Customer_10"/>
    <x v="88"/>
    <x v="6"/>
    <n v="26"/>
    <n v="45464"/>
    <n v="1182064"/>
  </r>
  <r>
    <n v="215"/>
    <x v="3"/>
    <x v="2"/>
    <x v="7"/>
    <x v="3"/>
    <s v="Customer_14"/>
    <x v="149"/>
    <x v="11"/>
    <n v="19"/>
    <n v="28711"/>
    <n v="545509"/>
  </r>
  <r>
    <n v="216"/>
    <x v="3"/>
    <x v="0"/>
    <x v="14"/>
    <x v="4"/>
    <s v="Customer_2"/>
    <x v="150"/>
    <x v="5"/>
    <n v="30"/>
    <n v="40920"/>
    <n v="1227600"/>
  </r>
  <r>
    <n v="217"/>
    <x v="2"/>
    <x v="2"/>
    <x v="7"/>
    <x v="3"/>
    <s v="Customer_10"/>
    <x v="141"/>
    <x v="10"/>
    <n v="40"/>
    <n v="24582"/>
    <n v="983280"/>
  </r>
  <r>
    <n v="218"/>
    <x v="2"/>
    <x v="0"/>
    <x v="5"/>
    <x v="5"/>
    <s v="Customer_5"/>
    <x v="117"/>
    <x v="2"/>
    <n v="40"/>
    <n v="9260"/>
    <n v="370400"/>
  </r>
  <r>
    <n v="219"/>
    <x v="0"/>
    <x v="0"/>
    <x v="13"/>
    <x v="3"/>
    <s v="Customer_1"/>
    <x v="86"/>
    <x v="7"/>
    <n v="7"/>
    <n v="24157"/>
    <n v="169099"/>
  </r>
  <r>
    <n v="220"/>
    <x v="1"/>
    <x v="0"/>
    <x v="13"/>
    <x v="1"/>
    <s v="Customer_4"/>
    <x v="151"/>
    <x v="3"/>
    <n v="22"/>
    <n v="39625"/>
    <n v="871750"/>
  </r>
  <r>
    <n v="221"/>
    <x v="2"/>
    <x v="2"/>
    <x v="0"/>
    <x v="3"/>
    <s v="Customer_13"/>
    <x v="152"/>
    <x v="2"/>
    <n v="49"/>
    <n v="11059"/>
    <n v="541891"/>
  </r>
  <r>
    <n v="222"/>
    <x v="0"/>
    <x v="0"/>
    <x v="13"/>
    <x v="1"/>
    <s v="Customer_17"/>
    <x v="11"/>
    <x v="0"/>
    <n v="11"/>
    <n v="18381"/>
    <n v="202191"/>
  </r>
  <r>
    <n v="223"/>
    <x v="2"/>
    <x v="0"/>
    <x v="13"/>
    <x v="5"/>
    <s v="Customer_7"/>
    <x v="59"/>
    <x v="11"/>
    <n v="47"/>
    <n v="36309"/>
    <n v="1706523"/>
  </r>
  <r>
    <n v="224"/>
    <x v="3"/>
    <x v="2"/>
    <x v="9"/>
    <x v="4"/>
    <s v="Customer_6"/>
    <x v="4"/>
    <x v="3"/>
    <n v="27"/>
    <n v="21242"/>
    <n v="573534"/>
  </r>
  <r>
    <n v="225"/>
    <x v="2"/>
    <x v="1"/>
    <x v="9"/>
    <x v="5"/>
    <s v="Customer_20"/>
    <x v="153"/>
    <x v="7"/>
    <n v="5"/>
    <n v="1869"/>
    <n v="9345"/>
  </r>
  <r>
    <n v="226"/>
    <x v="0"/>
    <x v="1"/>
    <x v="12"/>
    <x v="4"/>
    <s v="Customer_18"/>
    <x v="154"/>
    <x v="11"/>
    <n v="45"/>
    <n v="45234"/>
    <n v="2035530"/>
  </r>
  <r>
    <n v="227"/>
    <x v="0"/>
    <x v="0"/>
    <x v="5"/>
    <x v="2"/>
    <s v="Customer_12"/>
    <x v="155"/>
    <x v="7"/>
    <n v="40"/>
    <n v="4529"/>
    <n v="181160"/>
  </r>
  <r>
    <n v="228"/>
    <x v="3"/>
    <x v="0"/>
    <x v="9"/>
    <x v="2"/>
    <s v="Customer_8"/>
    <x v="156"/>
    <x v="6"/>
    <n v="41"/>
    <n v="7744"/>
    <n v="317504"/>
  </r>
  <r>
    <n v="229"/>
    <x v="1"/>
    <x v="2"/>
    <x v="8"/>
    <x v="4"/>
    <s v="Customer_2"/>
    <x v="14"/>
    <x v="4"/>
    <n v="30"/>
    <n v="45795"/>
    <n v="1373850"/>
  </r>
  <r>
    <n v="230"/>
    <x v="0"/>
    <x v="2"/>
    <x v="0"/>
    <x v="2"/>
    <s v="Customer_6"/>
    <x v="84"/>
    <x v="4"/>
    <n v="47"/>
    <n v="3773"/>
    <n v="177331"/>
  </r>
  <r>
    <n v="231"/>
    <x v="3"/>
    <x v="0"/>
    <x v="10"/>
    <x v="3"/>
    <s v="Customer_18"/>
    <x v="157"/>
    <x v="5"/>
    <n v="21"/>
    <n v="44857"/>
    <n v="941997"/>
  </r>
  <r>
    <n v="232"/>
    <x v="4"/>
    <x v="0"/>
    <x v="0"/>
    <x v="1"/>
    <s v="Customer_17"/>
    <x v="158"/>
    <x v="11"/>
    <n v="49"/>
    <n v="17192"/>
    <n v="842408"/>
  </r>
  <r>
    <n v="233"/>
    <x v="3"/>
    <x v="1"/>
    <x v="2"/>
    <x v="1"/>
    <s v="Customer_20"/>
    <x v="159"/>
    <x v="3"/>
    <n v="16"/>
    <n v="34560"/>
    <n v="552960"/>
  </r>
  <r>
    <n v="234"/>
    <x v="3"/>
    <x v="2"/>
    <x v="3"/>
    <x v="5"/>
    <s v="Customer_7"/>
    <x v="134"/>
    <x v="5"/>
    <n v="32"/>
    <n v="1888"/>
    <n v="60416"/>
  </r>
  <r>
    <n v="235"/>
    <x v="4"/>
    <x v="0"/>
    <x v="9"/>
    <x v="0"/>
    <s v="Customer_14"/>
    <x v="144"/>
    <x v="11"/>
    <n v="11"/>
    <n v="31031"/>
    <n v="341341"/>
  </r>
  <r>
    <n v="236"/>
    <x v="1"/>
    <x v="1"/>
    <x v="4"/>
    <x v="5"/>
    <s v="Customer_13"/>
    <x v="113"/>
    <x v="11"/>
    <n v="10"/>
    <n v="5445"/>
    <n v="54450"/>
  </r>
  <r>
    <n v="237"/>
    <x v="0"/>
    <x v="1"/>
    <x v="12"/>
    <x v="5"/>
    <s v="Customer_6"/>
    <x v="160"/>
    <x v="8"/>
    <n v="39"/>
    <n v="30569"/>
    <n v="1192191"/>
  </r>
  <r>
    <n v="238"/>
    <x v="1"/>
    <x v="2"/>
    <x v="3"/>
    <x v="1"/>
    <s v="Customer_13"/>
    <x v="46"/>
    <x v="2"/>
    <n v="17"/>
    <n v="37483"/>
    <n v="637211"/>
  </r>
  <r>
    <n v="239"/>
    <x v="1"/>
    <x v="1"/>
    <x v="9"/>
    <x v="1"/>
    <s v="Customer_5"/>
    <x v="0"/>
    <x v="0"/>
    <n v="24"/>
    <n v="22868"/>
    <n v="548832"/>
  </r>
  <r>
    <n v="240"/>
    <x v="2"/>
    <x v="0"/>
    <x v="9"/>
    <x v="1"/>
    <s v="Customer_10"/>
    <x v="161"/>
    <x v="8"/>
    <n v="42"/>
    <n v="15893"/>
    <n v="667506"/>
  </r>
  <r>
    <n v="241"/>
    <x v="1"/>
    <x v="2"/>
    <x v="3"/>
    <x v="4"/>
    <s v="Customer_1"/>
    <x v="75"/>
    <x v="9"/>
    <n v="49"/>
    <n v="27128"/>
    <n v="1329272"/>
  </r>
  <r>
    <n v="242"/>
    <x v="4"/>
    <x v="1"/>
    <x v="6"/>
    <x v="2"/>
    <s v="Customer_5"/>
    <x v="73"/>
    <x v="9"/>
    <n v="27"/>
    <n v="27732"/>
    <n v="748764"/>
  </r>
  <r>
    <n v="243"/>
    <x v="3"/>
    <x v="2"/>
    <x v="6"/>
    <x v="3"/>
    <s v="Customer_7"/>
    <x v="162"/>
    <x v="4"/>
    <n v="46"/>
    <n v="46253"/>
    <n v="2127638"/>
  </r>
  <r>
    <n v="244"/>
    <x v="4"/>
    <x v="2"/>
    <x v="14"/>
    <x v="1"/>
    <s v="Customer_12"/>
    <x v="163"/>
    <x v="2"/>
    <n v="37"/>
    <n v="13276"/>
    <n v="491212"/>
  </r>
  <r>
    <n v="245"/>
    <x v="4"/>
    <x v="1"/>
    <x v="2"/>
    <x v="4"/>
    <s v="Customer_16"/>
    <x v="164"/>
    <x v="11"/>
    <n v="48"/>
    <n v="32628"/>
    <n v="1566144"/>
  </r>
  <r>
    <n v="246"/>
    <x v="2"/>
    <x v="0"/>
    <x v="12"/>
    <x v="1"/>
    <s v="Customer_1"/>
    <x v="165"/>
    <x v="5"/>
    <n v="22"/>
    <n v="45907"/>
    <n v="1009954"/>
  </r>
  <r>
    <n v="247"/>
    <x v="0"/>
    <x v="0"/>
    <x v="3"/>
    <x v="2"/>
    <s v="Customer_10"/>
    <x v="85"/>
    <x v="7"/>
    <n v="7"/>
    <n v="1219"/>
    <n v="8533"/>
  </r>
  <r>
    <n v="248"/>
    <x v="0"/>
    <x v="0"/>
    <x v="0"/>
    <x v="4"/>
    <s v="Customer_19"/>
    <x v="166"/>
    <x v="1"/>
    <n v="16"/>
    <n v="37686"/>
    <n v="602976"/>
  </r>
  <r>
    <n v="249"/>
    <x v="3"/>
    <x v="2"/>
    <x v="13"/>
    <x v="4"/>
    <s v="Customer_10"/>
    <x v="167"/>
    <x v="1"/>
    <n v="8"/>
    <n v="17182"/>
    <n v="137456"/>
  </r>
  <r>
    <n v="250"/>
    <x v="1"/>
    <x v="2"/>
    <x v="9"/>
    <x v="5"/>
    <s v="Customer_7"/>
    <x v="118"/>
    <x v="4"/>
    <n v="32"/>
    <n v="28922"/>
    <n v="925504"/>
  </r>
  <r>
    <n v="251"/>
    <x v="1"/>
    <x v="1"/>
    <x v="1"/>
    <x v="3"/>
    <s v="Customer_9"/>
    <x v="57"/>
    <x v="7"/>
    <n v="16"/>
    <n v="29928"/>
    <n v="478848"/>
  </r>
  <r>
    <n v="252"/>
    <x v="2"/>
    <x v="1"/>
    <x v="10"/>
    <x v="0"/>
    <s v="Customer_11"/>
    <x v="101"/>
    <x v="4"/>
    <n v="41"/>
    <n v="15926"/>
    <n v="652966"/>
  </r>
  <r>
    <n v="253"/>
    <x v="3"/>
    <x v="1"/>
    <x v="7"/>
    <x v="3"/>
    <s v="Customer_14"/>
    <x v="168"/>
    <x v="7"/>
    <n v="47"/>
    <n v="3363"/>
    <n v="158061"/>
  </r>
  <r>
    <n v="254"/>
    <x v="4"/>
    <x v="2"/>
    <x v="2"/>
    <x v="4"/>
    <s v="Customer_1"/>
    <x v="98"/>
    <x v="5"/>
    <n v="32"/>
    <n v="34972"/>
    <n v="1119104"/>
  </r>
  <r>
    <n v="255"/>
    <x v="4"/>
    <x v="0"/>
    <x v="14"/>
    <x v="2"/>
    <s v="Customer_10"/>
    <x v="33"/>
    <x v="6"/>
    <n v="6"/>
    <n v="7971"/>
    <n v="47826"/>
  </r>
  <r>
    <n v="256"/>
    <x v="0"/>
    <x v="0"/>
    <x v="0"/>
    <x v="1"/>
    <s v="Customer_4"/>
    <x v="43"/>
    <x v="4"/>
    <n v="32"/>
    <n v="47991"/>
    <n v="1535712"/>
  </r>
  <r>
    <n v="257"/>
    <x v="0"/>
    <x v="0"/>
    <x v="5"/>
    <x v="1"/>
    <s v="Customer_18"/>
    <x v="169"/>
    <x v="3"/>
    <n v="37"/>
    <n v="36026"/>
    <n v="1332962"/>
  </r>
  <r>
    <n v="258"/>
    <x v="2"/>
    <x v="0"/>
    <x v="10"/>
    <x v="3"/>
    <s v="Customer_13"/>
    <x v="170"/>
    <x v="5"/>
    <n v="22"/>
    <n v="5185"/>
    <n v="114070"/>
  </r>
  <r>
    <n v="259"/>
    <x v="2"/>
    <x v="1"/>
    <x v="4"/>
    <x v="1"/>
    <s v="Customer_4"/>
    <x v="145"/>
    <x v="8"/>
    <n v="41"/>
    <n v="8075"/>
    <n v="331075"/>
  </r>
  <r>
    <n v="260"/>
    <x v="0"/>
    <x v="0"/>
    <x v="9"/>
    <x v="5"/>
    <s v="Customer_14"/>
    <x v="38"/>
    <x v="10"/>
    <n v="40"/>
    <n v="25058"/>
    <n v="1002320"/>
  </r>
  <r>
    <n v="261"/>
    <x v="3"/>
    <x v="2"/>
    <x v="11"/>
    <x v="2"/>
    <s v="Customer_9"/>
    <x v="171"/>
    <x v="8"/>
    <n v="13"/>
    <n v="23140"/>
    <n v="300820"/>
  </r>
  <r>
    <n v="262"/>
    <x v="0"/>
    <x v="2"/>
    <x v="1"/>
    <x v="1"/>
    <s v="Customer_18"/>
    <x v="13"/>
    <x v="1"/>
    <n v="48"/>
    <n v="29849"/>
    <n v="1432752"/>
  </r>
  <r>
    <n v="263"/>
    <x v="3"/>
    <x v="1"/>
    <x v="1"/>
    <x v="5"/>
    <s v="Customer_17"/>
    <x v="172"/>
    <x v="4"/>
    <n v="10"/>
    <n v="22473"/>
    <n v="224730"/>
  </r>
  <r>
    <n v="264"/>
    <x v="3"/>
    <x v="2"/>
    <x v="5"/>
    <x v="1"/>
    <s v="Customer_8"/>
    <x v="173"/>
    <x v="11"/>
    <n v="49"/>
    <n v="8498"/>
    <n v="416402"/>
  </r>
  <r>
    <n v="265"/>
    <x v="0"/>
    <x v="1"/>
    <x v="3"/>
    <x v="0"/>
    <s v="Customer_15"/>
    <x v="21"/>
    <x v="1"/>
    <n v="19"/>
    <n v="24730"/>
    <n v="469870"/>
  </r>
  <r>
    <n v="266"/>
    <x v="2"/>
    <x v="1"/>
    <x v="3"/>
    <x v="3"/>
    <s v="Customer_15"/>
    <x v="126"/>
    <x v="5"/>
    <n v="5"/>
    <n v="46553"/>
    <n v="232765"/>
  </r>
  <r>
    <n v="267"/>
    <x v="2"/>
    <x v="1"/>
    <x v="10"/>
    <x v="1"/>
    <s v="Customer_12"/>
    <x v="74"/>
    <x v="6"/>
    <n v="6"/>
    <n v="13263"/>
    <n v="79578"/>
  </r>
  <r>
    <n v="268"/>
    <x v="3"/>
    <x v="0"/>
    <x v="9"/>
    <x v="2"/>
    <s v="Customer_13"/>
    <x v="85"/>
    <x v="7"/>
    <n v="31"/>
    <n v="21998"/>
    <n v="681938"/>
  </r>
  <r>
    <n v="269"/>
    <x v="0"/>
    <x v="1"/>
    <x v="1"/>
    <x v="1"/>
    <s v="Customer_16"/>
    <x v="174"/>
    <x v="3"/>
    <n v="48"/>
    <n v="21663"/>
    <n v="1039824"/>
  </r>
  <r>
    <n v="270"/>
    <x v="2"/>
    <x v="2"/>
    <x v="9"/>
    <x v="5"/>
    <s v="Customer_7"/>
    <x v="175"/>
    <x v="7"/>
    <n v="49"/>
    <n v="20748"/>
    <n v="1016652"/>
  </r>
  <r>
    <n v="271"/>
    <x v="4"/>
    <x v="0"/>
    <x v="4"/>
    <x v="5"/>
    <s v="Customer_3"/>
    <x v="142"/>
    <x v="1"/>
    <n v="25"/>
    <n v="24758"/>
    <n v="618950"/>
  </r>
  <r>
    <n v="272"/>
    <x v="3"/>
    <x v="1"/>
    <x v="10"/>
    <x v="4"/>
    <s v="Customer_10"/>
    <x v="176"/>
    <x v="9"/>
    <n v="31"/>
    <n v="22202"/>
    <n v="688262"/>
  </r>
  <r>
    <n v="273"/>
    <x v="2"/>
    <x v="1"/>
    <x v="7"/>
    <x v="0"/>
    <s v="Customer_9"/>
    <x v="177"/>
    <x v="10"/>
    <n v="29"/>
    <n v="18881"/>
    <n v="547549"/>
  </r>
  <r>
    <n v="274"/>
    <x v="4"/>
    <x v="0"/>
    <x v="15"/>
    <x v="0"/>
    <s v="Customer_9"/>
    <x v="62"/>
    <x v="8"/>
    <n v="34"/>
    <n v="31952"/>
    <n v="1086368"/>
  </r>
  <r>
    <n v="275"/>
    <x v="1"/>
    <x v="2"/>
    <x v="3"/>
    <x v="2"/>
    <s v="Customer_6"/>
    <x v="167"/>
    <x v="1"/>
    <n v="36"/>
    <n v="6179"/>
    <n v="222444"/>
  </r>
  <r>
    <n v="276"/>
    <x v="1"/>
    <x v="2"/>
    <x v="15"/>
    <x v="5"/>
    <s v="Customer_18"/>
    <x v="36"/>
    <x v="3"/>
    <n v="3"/>
    <n v="20870"/>
    <n v="62610"/>
  </r>
  <r>
    <n v="277"/>
    <x v="2"/>
    <x v="2"/>
    <x v="6"/>
    <x v="0"/>
    <s v="Customer_16"/>
    <x v="43"/>
    <x v="4"/>
    <n v="11"/>
    <n v="28213"/>
    <n v="310343"/>
  </r>
  <r>
    <n v="278"/>
    <x v="3"/>
    <x v="2"/>
    <x v="13"/>
    <x v="0"/>
    <s v="Customer_3"/>
    <x v="178"/>
    <x v="1"/>
    <n v="34"/>
    <n v="11556"/>
    <n v="392904"/>
  </r>
  <r>
    <n v="279"/>
    <x v="1"/>
    <x v="0"/>
    <x v="5"/>
    <x v="4"/>
    <s v="Customer_9"/>
    <x v="54"/>
    <x v="10"/>
    <n v="5"/>
    <n v="38473"/>
    <n v="192365"/>
  </r>
  <r>
    <n v="280"/>
    <x v="2"/>
    <x v="0"/>
    <x v="10"/>
    <x v="1"/>
    <s v="Customer_20"/>
    <x v="179"/>
    <x v="9"/>
    <n v="50"/>
    <n v="17783"/>
    <n v="889150"/>
  </r>
  <r>
    <n v="281"/>
    <x v="4"/>
    <x v="1"/>
    <x v="8"/>
    <x v="4"/>
    <s v="Customer_20"/>
    <x v="180"/>
    <x v="11"/>
    <n v="39"/>
    <n v="36878"/>
    <n v="1438242"/>
  </r>
  <r>
    <n v="282"/>
    <x v="4"/>
    <x v="2"/>
    <x v="5"/>
    <x v="3"/>
    <s v="Customer_13"/>
    <x v="181"/>
    <x v="10"/>
    <n v="11"/>
    <n v="4452"/>
    <n v="48972"/>
  </r>
  <r>
    <n v="283"/>
    <x v="4"/>
    <x v="0"/>
    <x v="15"/>
    <x v="2"/>
    <s v="Customer_9"/>
    <x v="182"/>
    <x v="7"/>
    <n v="15"/>
    <n v="40670"/>
    <n v="610050"/>
  </r>
  <r>
    <n v="284"/>
    <x v="2"/>
    <x v="1"/>
    <x v="0"/>
    <x v="0"/>
    <s v="Customer_17"/>
    <x v="183"/>
    <x v="6"/>
    <n v="14"/>
    <n v="5371"/>
    <n v="75194"/>
  </r>
  <r>
    <n v="285"/>
    <x v="1"/>
    <x v="0"/>
    <x v="8"/>
    <x v="5"/>
    <s v="Customer_19"/>
    <x v="184"/>
    <x v="4"/>
    <n v="20"/>
    <n v="3957"/>
    <n v="79140"/>
  </r>
  <r>
    <n v="286"/>
    <x v="2"/>
    <x v="2"/>
    <x v="1"/>
    <x v="5"/>
    <s v="Customer_2"/>
    <x v="185"/>
    <x v="3"/>
    <n v="7"/>
    <n v="35880"/>
    <n v="251160"/>
  </r>
  <r>
    <n v="287"/>
    <x v="2"/>
    <x v="1"/>
    <x v="9"/>
    <x v="2"/>
    <s v="Customer_7"/>
    <x v="66"/>
    <x v="3"/>
    <n v="26"/>
    <n v="43475"/>
    <n v="1130350"/>
  </r>
  <r>
    <n v="288"/>
    <x v="1"/>
    <x v="2"/>
    <x v="5"/>
    <x v="4"/>
    <s v="Customer_12"/>
    <x v="142"/>
    <x v="1"/>
    <n v="34"/>
    <n v="7233"/>
    <n v="245922"/>
  </r>
  <r>
    <n v="289"/>
    <x v="4"/>
    <x v="1"/>
    <x v="5"/>
    <x v="0"/>
    <s v="Customer_10"/>
    <x v="92"/>
    <x v="10"/>
    <n v="18"/>
    <n v="5513"/>
    <n v="99234"/>
  </r>
  <r>
    <n v="290"/>
    <x v="3"/>
    <x v="0"/>
    <x v="15"/>
    <x v="2"/>
    <s v="Customer_15"/>
    <x v="137"/>
    <x v="11"/>
    <n v="41"/>
    <n v="9088"/>
    <n v="372608"/>
  </r>
  <r>
    <n v="291"/>
    <x v="2"/>
    <x v="2"/>
    <x v="1"/>
    <x v="2"/>
    <s v="Customer_6"/>
    <x v="122"/>
    <x v="2"/>
    <n v="8"/>
    <n v="29732"/>
    <n v="237856"/>
  </r>
  <r>
    <n v="292"/>
    <x v="0"/>
    <x v="2"/>
    <x v="11"/>
    <x v="3"/>
    <s v="Customer_13"/>
    <x v="186"/>
    <x v="2"/>
    <n v="35"/>
    <n v="9701"/>
    <n v="339535"/>
  </r>
  <r>
    <n v="293"/>
    <x v="2"/>
    <x v="1"/>
    <x v="2"/>
    <x v="3"/>
    <s v="Customer_11"/>
    <x v="187"/>
    <x v="0"/>
    <n v="4"/>
    <n v="48477"/>
    <n v="193908"/>
  </r>
  <r>
    <n v="294"/>
    <x v="4"/>
    <x v="1"/>
    <x v="13"/>
    <x v="1"/>
    <s v="Customer_14"/>
    <x v="188"/>
    <x v="5"/>
    <n v="2"/>
    <n v="7755"/>
    <n v="15510"/>
  </r>
  <r>
    <n v="295"/>
    <x v="4"/>
    <x v="1"/>
    <x v="8"/>
    <x v="1"/>
    <s v="Customer_11"/>
    <x v="189"/>
    <x v="6"/>
    <n v="17"/>
    <n v="8821"/>
    <n v="149957"/>
  </r>
  <r>
    <n v="296"/>
    <x v="1"/>
    <x v="2"/>
    <x v="2"/>
    <x v="4"/>
    <s v="Customer_3"/>
    <x v="39"/>
    <x v="6"/>
    <n v="22"/>
    <n v="36646"/>
    <n v="806212"/>
  </r>
  <r>
    <n v="297"/>
    <x v="4"/>
    <x v="2"/>
    <x v="12"/>
    <x v="5"/>
    <s v="Customer_10"/>
    <x v="190"/>
    <x v="0"/>
    <n v="37"/>
    <n v="11312"/>
    <n v="418544"/>
  </r>
  <r>
    <n v="298"/>
    <x v="2"/>
    <x v="0"/>
    <x v="4"/>
    <x v="0"/>
    <s v="Customer_16"/>
    <x v="33"/>
    <x v="6"/>
    <n v="8"/>
    <n v="48730"/>
    <n v="389840"/>
  </r>
  <r>
    <n v="299"/>
    <x v="0"/>
    <x v="1"/>
    <x v="0"/>
    <x v="4"/>
    <s v="Customer_8"/>
    <x v="16"/>
    <x v="4"/>
    <n v="30"/>
    <n v="16085"/>
    <n v="482550"/>
  </r>
  <r>
    <n v="300"/>
    <x v="3"/>
    <x v="1"/>
    <x v="2"/>
    <x v="2"/>
    <s v="Customer_4"/>
    <x v="191"/>
    <x v="2"/>
    <n v="18"/>
    <n v="47736"/>
    <n v="859248"/>
  </r>
  <r>
    <n v="301"/>
    <x v="1"/>
    <x v="0"/>
    <x v="4"/>
    <x v="0"/>
    <s v="Customer_15"/>
    <x v="187"/>
    <x v="0"/>
    <n v="35"/>
    <n v="29561"/>
    <n v="1034635"/>
  </r>
  <r>
    <n v="302"/>
    <x v="3"/>
    <x v="0"/>
    <x v="2"/>
    <x v="1"/>
    <s v="Customer_20"/>
    <x v="192"/>
    <x v="6"/>
    <n v="29"/>
    <n v="31709"/>
    <n v="919561"/>
  </r>
  <r>
    <n v="303"/>
    <x v="1"/>
    <x v="1"/>
    <x v="15"/>
    <x v="0"/>
    <s v="Customer_13"/>
    <x v="193"/>
    <x v="4"/>
    <n v="35"/>
    <n v="45445"/>
    <n v="1590575"/>
  </r>
  <r>
    <n v="304"/>
    <x v="3"/>
    <x v="2"/>
    <x v="2"/>
    <x v="4"/>
    <s v="Customer_2"/>
    <x v="194"/>
    <x v="5"/>
    <n v="14"/>
    <n v="11031"/>
    <n v="154434"/>
  </r>
  <r>
    <n v="305"/>
    <x v="4"/>
    <x v="1"/>
    <x v="3"/>
    <x v="0"/>
    <s v="Customer_14"/>
    <x v="37"/>
    <x v="5"/>
    <n v="33"/>
    <n v="5852"/>
    <n v="193116"/>
  </r>
  <r>
    <n v="306"/>
    <x v="1"/>
    <x v="1"/>
    <x v="13"/>
    <x v="3"/>
    <s v="Customer_20"/>
    <x v="195"/>
    <x v="10"/>
    <n v="6"/>
    <n v="2151"/>
    <n v="12906"/>
  </r>
  <r>
    <n v="307"/>
    <x v="1"/>
    <x v="0"/>
    <x v="5"/>
    <x v="5"/>
    <s v="Customer_13"/>
    <x v="196"/>
    <x v="6"/>
    <n v="13"/>
    <n v="35844"/>
    <n v="465972"/>
  </r>
  <r>
    <n v="308"/>
    <x v="3"/>
    <x v="2"/>
    <x v="5"/>
    <x v="2"/>
    <s v="Customer_16"/>
    <x v="197"/>
    <x v="1"/>
    <n v="3"/>
    <n v="9390"/>
    <n v="28170"/>
  </r>
  <r>
    <n v="309"/>
    <x v="0"/>
    <x v="2"/>
    <x v="7"/>
    <x v="0"/>
    <s v="Customer_10"/>
    <x v="20"/>
    <x v="5"/>
    <n v="7"/>
    <n v="40531"/>
    <n v="283717"/>
  </r>
  <r>
    <n v="310"/>
    <x v="4"/>
    <x v="0"/>
    <x v="3"/>
    <x v="3"/>
    <s v="Customer_19"/>
    <x v="62"/>
    <x v="8"/>
    <n v="41"/>
    <n v="21343"/>
    <n v="875063"/>
  </r>
  <r>
    <n v="311"/>
    <x v="4"/>
    <x v="2"/>
    <x v="2"/>
    <x v="5"/>
    <s v="Customer_6"/>
    <x v="154"/>
    <x v="11"/>
    <n v="7"/>
    <n v="9011"/>
    <n v="63077"/>
  </r>
  <r>
    <n v="312"/>
    <x v="1"/>
    <x v="1"/>
    <x v="8"/>
    <x v="5"/>
    <s v="Customer_1"/>
    <x v="1"/>
    <x v="1"/>
    <n v="25"/>
    <n v="8101"/>
    <n v="202525"/>
  </r>
  <r>
    <n v="313"/>
    <x v="3"/>
    <x v="2"/>
    <x v="1"/>
    <x v="0"/>
    <s v="Customer_16"/>
    <x v="76"/>
    <x v="5"/>
    <n v="25"/>
    <n v="21161"/>
    <n v="529025"/>
  </r>
  <r>
    <n v="314"/>
    <x v="2"/>
    <x v="0"/>
    <x v="1"/>
    <x v="1"/>
    <s v="Customer_4"/>
    <x v="20"/>
    <x v="5"/>
    <n v="10"/>
    <n v="11571"/>
    <n v="115710"/>
  </r>
  <r>
    <n v="315"/>
    <x v="4"/>
    <x v="2"/>
    <x v="12"/>
    <x v="0"/>
    <s v="Customer_5"/>
    <x v="91"/>
    <x v="3"/>
    <n v="34"/>
    <n v="27922"/>
    <n v="949348"/>
  </r>
  <r>
    <n v="316"/>
    <x v="3"/>
    <x v="1"/>
    <x v="10"/>
    <x v="1"/>
    <s v="Customer_5"/>
    <x v="198"/>
    <x v="1"/>
    <n v="16"/>
    <n v="47305"/>
    <n v="756880"/>
  </r>
  <r>
    <n v="317"/>
    <x v="1"/>
    <x v="2"/>
    <x v="12"/>
    <x v="5"/>
    <s v="Customer_1"/>
    <x v="68"/>
    <x v="0"/>
    <n v="10"/>
    <n v="36137"/>
    <n v="361370"/>
  </r>
  <r>
    <n v="318"/>
    <x v="0"/>
    <x v="1"/>
    <x v="3"/>
    <x v="3"/>
    <s v="Customer_1"/>
    <x v="95"/>
    <x v="1"/>
    <n v="22"/>
    <n v="2177"/>
    <n v="47894"/>
  </r>
  <r>
    <n v="319"/>
    <x v="0"/>
    <x v="2"/>
    <x v="1"/>
    <x v="0"/>
    <s v="Customer_5"/>
    <x v="199"/>
    <x v="3"/>
    <n v="38"/>
    <n v="15702"/>
    <n v="596676"/>
  </r>
  <r>
    <n v="320"/>
    <x v="3"/>
    <x v="0"/>
    <x v="8"/>
    <x v="4"/>
    <s v="Customer_15"/>
    <x v="46"/>
    <x v="2"/>
    <n v="35"/>
    <n v="33185"/>
    <n v="1161475"/>
  </r>
  <r>
    <n v="321"/>
    <x v="2"/>
    <x v="1"/>
    <x v="15"/>
    <x v="4"/>
    <s v="Customer_15"/>
    <x v="185"/>
    <x v="3"/>
    <n v="33"/>
    <n v="2340"/>
    <n v="77220"/>
  </r>
  <r>
    <n v="322"/>
    <x v="0"/>
    <x v="2"/>
    <x v="8"/>
    <x v="3"/>
    <s v="Customer_16"/>
    <x v="200"/>
    <x v="1"/>
    <n v="31"/>
    <n v="21239"/>
    <n v="658409"/>
  </r>
  <r>
    <n v="323"/>
    <x v="3"/>
    <x v="2"/>
    <x v="10"/>
    <x v="1"/>
    <s v="Customer_4"/>
    <x v="186"/>
    <x v="2"/>
    <n v="44"/>
    <n v="20298"/>
    <n v="893112"/>
  </r>
  <r>
    <n v="324"/>
    <x v="4"/>
    <x v="1"/>
    <x v="14"/>
    <x v="3"/>
    <s v="Customer_2"/>
    <x v="201"/>
    <x v="10"/>
    <n v="46"/>
    <n v="45972"/>
    <n v="2114712"/>
  </r>
  <r>
    <n v="325"/>
    <x v="1"/>
    <x v="0"/>
    <x v="1"/>
    <x v="1"/>
    <s v="Customer_19"/>
    <x v="202"/>
    <x v="9"/>
    <n v="15"/>
    <n v="49703"/>
    <n v="745545"/>
  </r>
  <r>
    <n v="326"/>
    <x v="1"/>
    <x v="1"/>
    <x v="7"/>
    <x v="3"/>
    <s v="Customer_20"/>
    <x v="203"/>
    <x v="5"/>
    <n v="33"/>
    <n v="18473"/>
    <n v="609609"/>
  </r>
  <r>
    <n v="327"/>
    <x v="0"/>
    <x v="1"/>
    <x v="10"/>
    <x v="4"/>
    <s v="Customer_11"/>
    <x v="85"/>
    <x v="7"/>
    <n v="36"/>
    <n v="6342"/>
    <n v="228312"/>
  </r>
  <r>
    <n v="328"/>
    <x v="3"/>
    <x v="0"/>
    <x v="7"/>
    <x v="0"/>
    <s v="Customer_12"/>
    <x v="204"/>
    <x v="9"/>
    <n v="47"/>
    <n v="17373"/>
    <n v="816531"/>
  </r>
  <r>
    <n v="329"/>
    <x v="0"/>
    <x v="0"/>
    <x v="14"/>
    <x v="0"/>
    <s v="Customer_14"/>
    <x v="205"/>
    <x v="2"/>
    <n v="3"/>
    <n v="34301"/>
    <n v="102903"/>
  </r>
  <r>
    <n v="330"/>
    <x v="4"/>
    <x v="2"/>
    <x v="3"/>
    <x v="5"/>
    <s v="Customer_20"/>
    <x v="206"/>
    <x v="2"/>
    <n v="29"/>
    <n v="24668"/>
    <n v="715372"/>
  </r>
  <r>
    <n v="331"/>
    <x v="1"/>
    <x v="2"/>
    <x v="13"/>
    <x v="2"/>
    <s v="Customer_19"/>
    <x v="159"/>
    <x v="3"/>
    <n v="40"/>
    <n v="48259"/>
    <n v="1930360"/>
  </r>
  <r>
    <n v="332"/>
    <x v="1"/>
    <x v="2"/>
    <x v="7"/>
    <x v="5"/>
    <s v="Customer_1"/>
    <x v="59"/>
    <x v="11"/>
    <n v="47"/>
    <n v="29749"/>
    <n v="1398203"/>
  </r>
  <r>
    <n v="333"/>
    <x v="2"/>
    <x v="2"/>
    <x v="14"/>
    <x v="1"/>
    <s v="Customer_15"/>
    <x v="207"/>
    <x v="9"/>
    <n v="29"/>
    <n v="24579"/>
    <n v="712791"/>
  </r>
  <r>
    <n v="334"/>
    <x v="2"/>
    <x v="2"/>
    <x v="1"/>
    <x v="3"/>
    <s v="Customer_1"/>
    <x v="208"/>
    <x v="1"/>
    <n v="30"/>
    <n v="24263"/>
    <n v="727890"/>
  </r>
  <r>
    <n v="335"/>
    <x v="3"/>
    <x v="0"/>
    <x v="5"/>
    <x v="3"/>
    <s v="Customer_10"/>
    <x v="116"/>
    <x v="8"/>
    <n v="36"/>
    <n v="46036"/>
    <n v="1657296"/>
  </r>
  <r>
    <n v="336"/>
    <x v="3"/>
    <x v="2"/>
    <x v="12"/>
    <x v="2"/>
    <s v="Customer_3"/>
    <x v="209"/>
    <x v="4"/>
    <n v="45"/>
    <n v="45600"/>
    <n v="2052000"/>
  </r>
  <r>
    <n v="337"/>
    <x v="4"/>
    <x v="1"/>
    <x v="2"/>
    <x v="0"/>
    <s v="Customer_9"/>
    <x v="163"/>
    <x v="2"/>
    <n v="9"/>
    <n v="16262"/>
    <n v="146358"/>
  </r>
  <r>
    <n v="338"/>
    <x v="2"/>
    <x v="1"/>
    <x v="0"/>
    <x v="1"/>
    <s v="Customer_7"/>
    <x v="210"/>
    <x v="9"/>
    <n v="50"/>
    <n v="41088"/>
    <n v="2054400"/>
  </r>
  <r>
    <n v="339"/>
    <x v="1"/>
    <x v="1"/>
    <x v="13"/>
    <x v="1"/>
    <s v="Customer_2"/>
    <x v="72"/>
    <x v="5"/>
    <n v="38"/>
    <n v="22109"/>
    <n v="840142"/>
  </r>
  <r>
    <n v="340"/>
    <x v="0"/>
    <x v="2"/>
    <x v="6"/>
    <x v="5"/>
    <s v="Customer_13"/>
    <x v="211"/>
    <x v="8"/>
    <n v="26"/>
    <n v="44128"/>
    <n v="1147328"/>
  </r>
  <r>
    <n v="341"/>
    <x v="4"/>
    <x v="1"/>
    <x v="14"/>
    <x v="3"/>
    <s v="Customer_9"/>
    <x v="212"/>
    <x v="6"/>
    <n v="39"/>
    <n v="36669"/>
    <n v="1430091"/>
  </r>
  <r>
    <n v="342"/>
    <x v="1"/>
    <x v="1"/>
    <x v="14"/>
    <x v="3"/>
    <s v="Customer_11"/>
    <x v="132"/>
    <x v="6"/>
    <n v="48"/>
    <n v="17256"/>
    <n v="828288"/>
  </r>
  <r>
    <n v="343"/>
    <x v="3"/>
    <x v="1"/>
    <x v="2"/>
    <x v="5"/>
    <s v="Customer_14"/>
    <x v="136"/>
    <x v="11"/>
    <n v="8"/>
    <n v="24556"/>
    <n v="196448"/>
  </r>
  <r>
    <n v="344"/>
    <x v="0"/>
    <x v="0"/>
    <x v="10"/>
    <x v="4"/>
    <s v="Customer_11"/>
    <x v="213"/>
    <x v="1"/>
    <n v="35"/>
    <n v="12622"/>
    <n v="441770"/>
  </r>
  <r>
    <n v="345"/>
    <x v="1"/>
    <x v="1"/>
    <x v="5"/>
    <x v="0"/>
    <s v="Customer_5"/>
    <x v="130"/>
    <x v="2"/>
    <n v="3"/>
    <n v="11842"/>
    <n v="35526"/>
  </r>
  <r>
    <n v="346"/>
    <x v="0"/>
    <x v="0"/>
    <x v="0"/>
    <x v="2"/>
    <s v="Customer_17"/>
    <x v="157"/>
    <x v="5"/>
    <n v="13"/>
    <n v="4077"/>
    <n v="53001"/>
  </r>
  <r>
    <n v="347"/>
    <x v="0"/>
    <x v="2"/>
    <x v="15"/>
    <x v="2"/>
    <s v="Customer_7"/>
    <x v="15"/>
    <x v="2"/>
    <n v="21"/>
    <n v="6457"/>
    <n v="135597"/>
  </r>
  <r>
    <n v="348"/>
    <x v="4"/>
    <x v="2"/>
    <x v="11"/>
    <x v="1"/>
    <s v="Customer_2"/>
    <x v="5"/>
    <x v="4"/>
    <n v="3"/>
    <n v="16867"/>
    <n v="50601"/>
  </r>
  <r>
    <n v="349"/>
    <x v="1"/>
    <x v="2"/>
    <x v="12"/>
    <x v="4"/>
    <s v="Customer_17"/>
    <x v="200"/>
    <x v="1"/>
    <n v="39"/>
    <n v="45374"/>
    <n v="1769586"/>
  </r>
  <r>
    <n v="350"/>
    <x v="3"/>
    <x v="2"/>
    <x v="2"/>
    <x v="3"/>
    <s v="Customer_6"/>
    <x v="9"/>
    <x v="8"/>
    <n v="1"/>
    <n v="17343"/>
    <n v="17343"/>
  </r>
  <r>
    <n v="351"/>
    <x v="0"/>
    <x v="1"/>
    <x v="14"/>
    <x v="2"/>
    <s v="Customer_2"/>
    <x v="214"/>
    <x v="11"/>
    <n v="42"/>
    <n v="24782"/>
    <n v="1040844"/>
  </r>
  <r>
    <n v="352"/>
    <x v="0"/>
    <x v="0"/>
    <x v="1"/>
    <x v="2"/>
    <s v="Customer_20"/>
    <x v="204"/>
    <x v="9"/>
    <n v="21"/>
    <n v="10464"/>
    <n v="219744"/>
  </r>
  <r>
    <n v="353"/>
    <x v="4"/>
    <x v="2"/>
    <x v="0"/>
    <x v="4"/>
    <s v="Customer_10"/>
    <x v="119"/>
    <x v="7"/>
    <n v="41"/>
    <n v="37660"/>
    <n v="1544060"/>
  </r>
  <r>
    <n v="354"/>
    <x v="2"/>
    <x v="1"/>
    <x v="8"/>
    <x v="3"/>
    <s v="Customer_5"/>
    <x v="207"/>
    <x v="9"/>
    <n v="20"/>
    <n v="3857"/>
    <n v="77140"/>
  </r>
  <r>
    <n v="355"/>
    <x v="0"/>
    <x v="1"/>
    <x v="14"/>
    <x v="2"/>
    <s v="Customer_3"/>
    <x v="163"/>
    <x v="2"/>
    <n v="18"/>
    <n v="10752"/>
    <n v="193536"/>
  </r>
  <r>
    <n v="356"/>
    <x v="4"/>
    <x v="0"/>
    <x v="15"/>
    <x v="4"/>
    <s v="Customer_5"/>
    <x v="140"/>
    <x v="4"/>
    <n v="13"/>
    <n v="25959"/>
    <n v="337467"/>
  </r>
  <r>
    <n v="357"/>
    <x v="1"/>
    <x v="0"/>
    <x v="15"/>
    <x v="0"/>
    <s v="Customer_13"/>
    <x v="74"/>
    <x v="6"/>
    <n v="16"/>
    <n v="5340"/>
    <n v="85440"/>
  </r>
  <r>
    <n v="358"/>
    <x v="4"/>
    <x v="2"/>
    <x v="6"/>
    <x v="2"/>
    <s v="Customer_13"/>
    <x v="215"/>
    <x v="9"/>
    <n v="35"/>
    <n v="30644"/>
    <n v="1072540"/>
  </r>
  <r>
    <n v="359"/>
    <x v="3"/>
    <x v="2"/>
    <x v="10"/>
    <x v="3"/>
    <s v="Customer_10"/>
    <x v="58"/>
    <x v="11"/>
    <n v="27"/>
    <n v="34376"/>
    <n v="928152"/>
  </r>
  <r>
    <n v="360"/>
    <x v="1"/>
    <x v="1"/>
    <x v="4"/>
    <x v="1"/>
    <s v="Customer_5"/>
    <x v="216"/>
    <x v="4"/>
    <n v="15"/>
    <n v="9476"/>
    <n v="142140"/>
  </r>
  <r>
    <n v="361"/>
    <x v="4"/>
    <x v="0"/>
    <x v="0"/>
    <x v="5"/>
    <s v="Customer_11"/>
    <x v="40"/>
    <x v="6"/>
    <n v="6"/>
    <n v="11055"/>
    <n v="66330"/>
  </r>
  <r>
    <n v="362"/>
    <x v="4"/>
    <x v="2"/>
    <x v="9"/>
    <x v="5"/>
    <s v="Customer_18"/>
    <x v="82"/>
    <x v="2"/>
    <n v="33"/>
    <n v="14012"/>
    <n v="462396"/>
  </r>
  <r>
    <n v="363"/>
    <x v="1"/>
    <x v="1"/>
    <x v="10"/>
    <x v="3"/>
    <s v="Customer_6"/>
    <x v="97"/>
    <x v="8"/>
    <n v="8"/>
    <n v="2979"/>
    <n v="23832"/>
  </r>
  <r>
    <n v="364"/>
    <x v="2"/>
    <x v="0"/>
    <x v="5"/>
    <x v="5"/>
    <s v="Customer_7"/>
    <x v="42"/>
    <x v="9"/>
    <n v="22"/>
    <n v="22112"/>
    <n v="486464"/>
  </r>
  <r>
    <n v="365"/>
    <x v="4"/>
    <x v="0"/>
    <x v="15"/>
    <x v="3"/>
    <s v="Customer_15"/>
    <x v="25"/>
    <x v="6"/>
    <n v="6"/>
    <n v="8569"/>
    <n v="51414"/>
  </r>
  <r>
    <n v="366"/>
    <x v="1"/>
    <x v="1"/>
    <x v="3"/>
    <x v="2"/>
    <s v="Customer_11"/>
    <x v="217"/>
    <x v="0"/>
    <n v="26"/>
    <n v="25862"/>
    <n v="672412"/>
  </r>
  <r>
    <n v="367"/>
    <x v="2"/>
    <x v="0"/>
    <x v="15"/>
    <x v="2"/>
    <s v="Customer_12"/>
    <x v="218"/>
    <x v="8"/>
    <n v="41"/>
    <n v="11658"/>
    <n v="477978"/>
  </r>
  <r>
    <n v="368"/>
    <x v="2"/>
    <x v="0"/>
    <x v="4"/>
    <x v="3"/>
    <s v="Customer_14"/>
    <x v="219"/>
    <x v="3"/>
    <n v="31"/>
    <n v="12576"/>
    <n v="389856"/>
  </r>
  <r>
    <n v="369"/>
    <x v="0"/>
    <x v="2"/>
    <x v="13"/>
    <x v="4"/>
    <s v="Customer_17"/>
    <x v="80"/>
    <x v="0"/>
    <n v="7"/>
    <n v="15838"/>
    <n v="110866"/>
  </r>
  <r>
    <n v="370"/>
    <x v="3"/>
    <x v="1"/>
    <x v="1"/>
    <x v="1"/>
    <s v="Customer_4"/>
    <x v="220"/>
    <x v="1"/>
    <n v="49"/>
    <n v="48939"/>
    <n v="2398011"/>
  </r>
  <r>
    <n v="371"/>
    <x v="2"/>
    <x v="1"/>
    <x v="6"/>
    <x v="5"/>
    <s v="Customer_2"/>
    <x v="116"/>
    <x v="8"/>
    <n v="32"/>
    <n v="6345"/>
    <n v="203040"/>
  </r>
  <r>
    <n v="372"/>
    <x v="2"/>
    <x v="1"/>
    <x v="14"/>
    <x v="4"/>
    <s v="Customer_17"/>
    <x v="221"/>
    <x v="0"/>
    <n v="2"/>
    <n v="3731"/>
    <n v="7462"/>
  </r>
  <r>
    <n v="373"/>
    <x v="0"/>
    <x v="0"/>
    <x v="0"/>
    <x v="1"/>
    <s v="Customer_20"/>
    <x v="32"/>
    <x v="4"/>
    <n v="32"/>
    <n v="4118"/>
    <n v="131776"/>
  </r>
  <r>
    <n v="374"/>
    <x v="0"/>
    <x v="0"/>
    <x v="15"/>
    <x v="1"/>
    <s v="Customer_16"/>
    <x v="222"/>
    <x v="10"/>
    <n v="22"/>
    <n v="36718"/>
    <n v="807796"/>
  </r>
  <r>
    <n v="375"/>
    <x v="1"/>
    <x v="2"/>
    <x v="2"/>
    <x v="5"/>
    <s v="Customer_3"/>
    <x v="68"/>
    <x v="0"/>
    <n v="47"/>
    <n v="35735"/>
    <n v="1679545"/>
  </r>
  <r>
    <n v="376"/>
    <x v="3"/>
    <x v="0"/>
    <x v="12"/>
    <x v="1"/>
    <s v="Customer_8"/>
    <x v="48"/>
    <x v="6"/>
    <n v="23"/>
    <n v="47981"/>
    <n v="1103563"/>
  </r>
  <r>
    <n v="377"/>
    <x v="3"/>
    <x v="0"/>
    <x v="12"/>
    <x v="2"/>
    <s v="Customer_1"/>
    <x v="223"/>
    <x v="4"/>
    <n v="28"/>
    <n v="22534"/>
    <n v="630952"/>
  </r>
  <r>
    <n v="378"/>
    <x v="4"/>
    <x v="1"/>
    <x v="5"/>
    <x v="1"/>
    <s v="Customer_7"/>
    <x v="14"/>
    <x v="4"/>
    <n v="41"/>
    <n v="15901"/>
    <n v="651941"/>
  </r>
  <r>
    <n v="379"/>
    <x v="2"/>
    <x v="2"/>
    <x v="14"/>
    <x v="1"/>
    <s v="Customer_3"/>
    <x v="224"/>
    <x v="6"/>
    <n v="30"/>
    <n v="21596"/>
    <n v="647880"/>
  </r>
  <r>
    <n v="380"/>
    <x v="3"/>
    <x v="0"/>
    <x v="2"/>
    <x v="1"/>
    <s v="Customer_8"/>
    <x v="152"/>
    <x v="2"/>
    <n v="44"/>
    <n v="23746"/>
    <n v="1044824"/>
  </r>
  <r>
    <n v="381"/>
    <x v="1"/>
    <x v="1"/>
    <x v="0"/>
    <x v="2"/>
    <s v="Customer_17"/>
    <x v="225"/>
    <x v="1"/>
    <n v="7"/>
    <n v="15628"/>
    <n v="109396"/>
  </r>
  <r>
    <n v="382"/>
    <x v="3"/>
    <x v="2"/>
    <x v="13"/>
    <x v="0"/>
    <s v="Customer_11"/>
    <x v="226"/>
    <x v="0"/>
    <n v="44"/>
    <n v="27666"/>
    <n v="1217304"/>
  </r>
  <r>
    <n v="383"/>
    <x v="4"/>
    <x v="0"/>
    <x v="9"/>
    <x v="0"/>
    <s v="Customer_1"/>
    <x v="227"/>
    <x v="6"/>
    <n v="37"/>
    <n v="14410"/>
    <n v="533170"/>
  </r>
  <r>
    <n v="384"/>
    <x v="1"/>
    <x v="1"/>
    <x v="14"/>
    <x v="1"/>
    <s v="Customer_12"/>
    <x v="225"/>
    <x v="1"/>
    <n v="3"/>
    <n v="23578"/>
    <n v="70734"/>
  </r>
  <r>
    <n v="385"/>
    <x v="1"/>
    <x v="1"/>
    <x v="8"/>
    <x v="3"/>
    <s v="Customer_7"/>
    <x v="28"/>
    <x v="11"/>
    <n v="42"/>
    <n v="46743"/>
    <n v="1963206"/>
  </r>
  <r>
    <n v="386"/>
    <x v="0"/>
    <x v="0"/>
    <x v="5"/>
    <x v="2"/>
    <s v="Customer_14"/>
    <x v="76"/>
    <x v="5"/>
    <n v="9"/>
    <n v="32833"/>
    <n v="295497"/>
  </r>
  <r>
    <n v="387"/>
    <x v="2"/>
    <x v="0"/>
    <x v="7"/>
    <x v="4"/>
    <s v="Customer_1"/>
    <x v="100"/>
    <x v="6"/>
    <n v="37"/>
    <n v="30485"/>
    <n v="1127945"/>
  </r>
  <r>
    <n v="388"/>
    <x v="0"/>
    <x v="0"/>
    <x v="0"/>
    <x v="1"/>
    <s v="Customer_16"/>
    <x v="211"/>
    <x v="8"/>
    <n v="17"/>
    <n v="31622"/>
    <n v="537574"/>
  </r>
  <r>
    <n v="389"/>
    <x v="4"/>
    <x v="2"/>
    <x v="14"/>
    <x v="5"/>
    <s v="Customer_10"/>
    <x v="145"/>
    <x v="8"/>
    <n v="50"/>
    <n v="37028"/>
    <n v="1851400"/>
  </r>
  <r>
    <n v="390"/>
    <x v="4"/>
    <x v="2"/>
    <x v="5"/>
    <x v="0"/>
    <s v="Customer_16"/>
    <x v="33"/>
    <x v="6"/>
    <n v="25"/>
    <n v="17314"/>
    <n v="432850"/>
  </r>
  <r>
    <n v="391"/>
    <x v="0"/>
    <x v="1"/>
    <x v="9"/>
    <x v="5"/>
    <s v="Customer_10"/>
    <x v="228"/>
    <x v="11"/>
    <n v="8"/>
    <n v="40681"/>
    <n v="325448"/>
  </r>
  <r>
    <n v="392"/>
    <x v="0"/>
    <x v="1"/>
    <x v="12"/>
    <x v="2"/>
    <s v="Customer_13"/>
    <x v="53"/>
    <x v="7"/>
    <n v="17"/>
    <n v="36650"/>
    <n v="623050"/>
  </r>
  <r>
    <n v="393"/>
    <x v="0"/>
    <x v="0"/>
    <x v="11"/>
    <x v="0"/>
    <s v="Customer_5"/>
    <x v="229"/>
    <x v="10"/>
    <n v="29"/>
    <n v="29248"/>
    <n v="848192"/>
  </r>
  <r>
    <n v="394"/>
    <x v="3"/>
    <x v="1"/>
    <x v="11"/>
    <x v="5"/>
    <s v="Customer_5"/>
    <x v="62"/>
    <x v="8"/>
    <n v="32"/>
    <n v="34738"/>
    <n v="1111616"/>
  </r>
  <r>
    <n v="395"/>
    <x v="2"/>
    <x v="0"/>
    <x v="0"/>
    <x v="1"/>
    <s v="Customer_4"/>
    <x v="230"/>
    <x v="10"/>
    <n v="8"/>
    <n v="28344"/>
    <n v="226752"/>
  </r>
  <r>
    <n v="396"/>
    <x v="0"/>
    <x v="2"/>
    <x v="5"/>
    <x v="2"/>
    <s v="Customer_19"/>
    <x v="231"/>
    <x v="9"/>
    <n v="46"/>
    <n v="35893"/>
    <n v="1651078"/>
  </r>
  <r>
    <n v="397"/>
    <x v="3"/>
    <x v="0"/>
    <x v="0"/>
    <x v="4"/>
    <s v="Customer_1"/>
    <x v="28"/>
    <x v="11"/>
    <n v="36"/>
    <n v="25872"/>
    <n v="931392"/>
  </r>
  <r>
    <n v="398"/>
    <x v="3"/>
    <x v="1"/>
    <x v="2"/>
    <x v="2"/>
    <s v="Customer_4"/>
    <x v="232"/>
    <x v="9"/>
    <n v="20"/>
    <n v="3003"/>
    <n v="60060"/>
  </r>
  <r>
    <n v="399"/>
    <x v="3"/>
    <x v="1"/>
    <x v="1"/>
    <x v="4"/>
    <s v="Customer_9"/>
    <x v="233"/>
    <x v="8"/>
    <n v="40"/>
    <n v="20426"/>
    <n v="817040"/>
  </r>
  <r>
    <n v="400"/>
    <x v="0"/>
    <x v="2"/>
    <x v="11"/>
    <x v="4"/>
    <s v="Customer_5"/>
    <x v="146"/>
    <x v="2"/>
    <n v="16"/>
    <n v="30804"/>
    <n v="492864"/>
  </r>
  <r>
    <n v="401"/>
    <x v="0"/>
    <x v="2"/>
    <x v="5"/>
    <x v="0"/>
    <s v="Customer_12"/>
    <x v="24"/>
    <x v="3"/>
    <n v="27"/>
    <n v="19821"/>
    <n v="535167"/>
  </r>
  <r>
    <n v="402"/>
    <x v="1"/>
    <x v="2"/>
    <x v="12"/>
    <x v="1"/>
    <s v="Customer_10"/>
    <x v="105"/>
    <x v="0"/>
    <n v="48"/>
    <n v="14091"/>
    <n v="676368"/>
  </r>
  <r>
    <n v="403"/>
    <x v="1"/>
    <x v="1"/>
    <x v="1"/>
    <x v="3"/>
    <s v="Customer_11"/>
    <x v="16"/>
    <x v="4"/>
    <n v="7"/>
    <n v="25517"/>
    <n v="178619"/>
  </r>
  <r>
    <n v="404"/>
    <x v="1"/>
    <x v="2"/>
    <x v="1"/>
    <x v="0"/>
    <s v="Customer_11"/>
    <x v="89"/>
    <x v="1"/>
    <n v="14"/>
    <n v="22668"/>
    <n v="317352"/>
  </r>
  <r>
    <n v="405"/>
    <x v="1"/>
    <x v="2"/>
    <x v="7"/>
    <x v="5"/>
    <s v="Customer_10"/>
    <x v="234"/>
    <x v="7"/>
    <n v="40"/>
    <n v="12550"/>
    <n v="502000"/>
  </r>
  <r>
    <n v="406"/>
    <x v="0"/>
    <x v="0"/>
    <x v="4"/>
    <x v="5"/>
    <s v="Customer_6"/>
    <x v="235"/>
    <x v="7"/>
    <n v="21"/>
    <n v="38205"/>
    <n v="802305"/>
  </r>
  <r>
    <n v="407"/>
    <x v="4"/>
    <x v="2"/>
    <x v="10"/>
    <x v="4"/>
    <s v="Customer_20"/>
    <x v="124"/>
    <x v="8"/>
    <n v="13"/>
    <n v="41178"/>
    <n v="535314"/>
  </r>
  <r>
    <n v="408"/>
    <x v="3"/>
    <x v="0"/>
    <x v="4"/>
    <x v="4"/>
    <s v="Customer_17"/>
    <x v="236"/>
    <x v="5"/>
    <n v="45"/>
    <n v="18049"/>
    <n v="812205"/>
  </r>
  <r>
    <n v="409"/>
    <x v="4"/>
    <x v="0"/>
    <x v="8"/>
    <x v="4"/>
    <s v="Customer_5"/>
    <x v="82"/>
    <x v="2"/>
    <n v="37"/>
    <n v="2660"/>
    <n v="98420"/>
  </r>
  <r>
    <n v="410"/>
    <x v="1"/>
    <x v="0"/>
    <x v="1"/>
    <x v="3"/>
    <s v="Customer_12"/>
    <x v="24"/>
    <x v="3"/>
    <n v="2"/>
    <n v="3657"/>
    <n v="7314"/>
  </r>
  <r>
    <n v="411"/>
    <x v="1"/>
    <x v="0"/>
    <x v="2"/>
    <x v="3"/>
    <s v="Customer_13"/>
    <x v="237"/>
    <x v="11"/>
    <n v="12"/>
    <n v="2266"/>
    <n v="27192"/>
  </r>
  <r>
    <n v="412"/>
    <x v="2"/>
    <x v="0"/>
    <x v="15"/>
    <x v="4"/>
    <s v="Customer_17"/>
    <x v="238"/>
    <x v="6"/>
    <n v="3"/>
    <n v="46348"/>
    <n v="139044"/>
  </r>
  <r>
    <n v="413"/>
    <x v="4"/>
    <x v="2"/>
    <x v="1"/>
    <x v="3"/>
    <s v="Customer_3"/>
    <x v="52"/>
    <x v="10"/>
    <n v="49"/>
    <n v="31973"/>
    <n v="1566677"/>
  </r>
  <r>
    <n v="414"/>
    <x v="4"/>
    <x v="1"/>
    <x v="15"/>
    <x v="2"/>
    <s v="Customer_19"/>
    <x v="239"/>
    <x v="11"/>
    <n v="41"/>
    <n v="12440"/>
    <n v="510040"/>
  </r>
  <r>
    <n v="415"/>
    <x v="1"/>
    <x v="2"/>
    <x v="6"/>
    <x v="4"/>
    <s v="Customer_4"/>
    <x v="57"/>
    <x v="7"/>
    <n v="21"/>
    <n v="22985"/>
    <n v="482685"/>
  </r>
  <r>
    <n v="416"/>
    <x v="0"/>
    <x v="1"/>
    <x v="8"/>
    <x v="1"/>
    <s v="Customer_9"/>
    <x v="240"/>
    <x v="2"/>
    <n v="17"/>
    <n v="18800"/>
    <n v="319600"/>
  </r>
  <r>
    <n v="417"/>
    <x v="4"/>
    <x v="1"/>
    <x v="5"/>
    <x v="4"/>
    <s v="Customer_8"/>
    <x v="204"/>
    <x v="9"/>
    <n v="5"/>
    <n v="14944"/>
    <n v="74720"/>
  </r>
  <r>
    <n v="418"/>
    <x v="0"/>
    <x v="2"/>
    <x v="15"/>
    <x v="1"/>
    <s v="Customer_6"/>
    <x v="140"/>
    <x v="4"/>
    <n v="32"/>
    <n v="31644"/>
    <n v="1012608"/>
  </r>
  <r>
    <n v="419"/>
    <x v="2"/>
    <x v="2"/>
    <x v="9"/>
    <x v="1"/>
    <s v="Customer_9"/>
    <x v="120"/>
    <x v="4"/>
    <n v="4"/>
    <n v="27572"/>
    <n v="110288"/>
  </r>
  <r>
    <n v="420"/>
    <x v="2"/>
    <x v="0"/>
    <x v="7"/>
    <x v="0"/>
    <s v="Customer_19"/>
    <x v="46"/>
    <x v="2"/>
    <n v="37"/>
    <n v="5817"/>
    <n v="215229"/>
  </r>
  <r>
    <n v="421"/>
    <x v="3"/>
    <x v="0"/>
    <x v="0"/>
    <x v="2"/>
    <s v="Customer_15"/>
    <x v="51"/>
    <x v="8"/>
    <n v="15"/>
    <n v="36391"/>
    <n v="545865"/>
  </r>
  <r>
    <n v="422"/>
    <x v="2"/>
    <x v="2"/>
    <x v="9"/>
    <x v="3"/>
    <s v="Customer_10"/>
    <x v="241"/>
    <x v="9"/>
    <n v="48"/>
    <n v="12413"/>
    <n v="595824"/>
  </r>
  <r>
    <n v="423"/>
    <x v="2"/>
    <x v="1"/>
    <x v="2"/>
    <x v="1"/>
    <s v="Customer_18"/>
    <x v="242"/>
    <x v="3"/>
    <n v="48"/>
    <n v="12310"/>
    <n v="590880"/>
  </r>
  <r>
    <n v="424"/>
    <x v="1"/>
    <x v="2"/>
    <x v="14"/>
    <x v="4"/>
    <s v="Customer_16"/>
    <x v="71"/>
    <x v="4"/>
    <n v="19"/>
    <n v="27999"/>
    <n v="531981"/>
  </r>
  <r>
    <n v="425"/>
    <x v="2"/>
    <x v="1"/>
    <x v="11"/>
    <x v="1"/>
    <s v="Customer_15"/>
    <x v="125"/>
    <x v="9"/>
    <n v="46"/>
    <n v="16475"/>
    <n v="757850"/>
  </r>
  <r>
    <n v="426"/>
    <x v="1"/>
    <x v="1"/>
    <x v="4"/>
    <x v="1"/>
    <s v="Customer_4"/>
    <x v="144"/>
    <x v="11"/>
    <n v="22"/>
    <n v="13532"/>
    <n v="297704"/>
  </r>
  <r>
    <n v="427"/>
    <x v="1"/>
    <x v="0"/>
    <x v="5"/>
    <x v="4"/>
    <s v="Customer_2"/>
    <x v="243"/>
    <x v="10"/>
    <n v="32"/>
    <n v="26206"/>
    <n v="838592"/>
  </r>
  <r>
    <n v="428"/>
    <x v="4"/>
    <x v="1"/>
    <x v="10"/>
    <x v="0"/>
    <s v="Customer_11"/>
    <x v="224"/>
    <x v="6"/>
    <n v="45"/>
    <n v="11084"/>
    <n v="498780"/>
  </r>
  <r>
    <n v="429"/>
    <x v="4"/>
    <x v="2"/>
    <x v="15"/>
    <x v="0"/>
    <s v="Customer_1"/>
    <x v="244"/>
    <x v="11"/>
    <n v="46"/>
    <n v="46087"/>
    <n v="2120002"/>
  </r>
  <r>
    <n v="430"/>
    <x v="1"/>
    <x v="1"/>
    <x v="4"/>
    <x v="5"/>
    <s v="Customer_7"/>
    <x v="245"/>
    <x v="9"/>
    <n v="14"/>
    <n v="40655"/>
    <n v="569170"/>
  </r>
  <r>
    <n v="431"/>
    <x v="3"/>
    <x v="1"/>
    <x v="6"/>
    <x v="2"/>
    <s v="Customer_19"/>
    <x v="130"/>
    <x v="2"/>
    <n v="26"/>
    <n v="23770"/>
    <n v="618020"/>
  </r>
  <r>
    <n v="432"/>
    <x v="1"/>
    <x v="0"/>
    <x v="1"/>
    <x v="5"/>
    <s v="Customer_7"/>
    <x v="246"/>
    <x v="3"/>
    <n v="11"/>
    <n v="14954"/>
    <n v="164494"/>
  </r>
  <r>
    <n v="433"/>
    <x v="4"/>
    <x v="2"/>
    <x v="14"/>
    <x v="3"/>
    <s v="Customer_11"/>
    <x v="247"/>
    <x v="2"/>
    <n v="22"/>
    <n v="15997"/>
    <n v="351934"/>
  </r>
  <r>
    <n v="434"/>
    <x v="2"/>
    <x v="2"/>
    <x v="7"/>
    <x v="2"/>
    <s v="Customer_20"/>
    <x v="224"/>
    <x v="6"/>
    <n v="8"/>
    <n v="26475"/>
    <n v="211800"/>
  </r>
  <r>
    <n v="435"/>
    <x v="3"/>
    <x v="2"/>
    <x v="14"/>
    <x v="4"/>
    <s v="Customer_7"/>
    <x v="194"/>
    <x v="5"/>
    <n v="39"/>
    <n v="46774"/>
    <n v="1824186"/>
  </r>
  <r>
    <n v="436"/>
    <x v="1"/>
    <x v="1"/>
    <x v="7"/>
    <x v="3"/>
    <s v="Customer_17"/>
    <x v="218"/>
    <x v="8"/>
    <n v="12"/>
    <n v="26221"/>
    <n v="314652"/>
  </r>
  <r>
    <n v="437"/>
    <x v="0"/>
    <x v="0"/>
    <x v="5"/>
    <x v="1"/>
    <s v="Customer_3"/>
    <x v="145"/>
    <x v="8"/>
    <n v="21"/>
    <n v="26048"/>
    <n v="547008"/>
  </r>
  <r>
    <n v="438"/>
    <x v="0"/>
    <x v="1"/>
    <x v="8"/>
    <x v="2"/>
    <s v="Customer_6"/>
    <x v="156"/>
    <x v="6"/>
    <n v="35"/>
    <n v="24459"/>
    <n v="856065"/>
  </r>
  <r>
    <n v="439"/>
    <x v="4"/>
    <x v="0"/>
    <x v="12"/>
    <x v="2"/>
    <s v="Customer_17"/>
    <x v="242"/>
    <x v="3"/>
    <n v="35"/>
    <n v="28701"/>
    <n v="1004535"/>
  </r>
  <r>
    <n v="440"/>
    <x v="4"/>
    <x v="0"/>
    <x v="10"/>
    <x v="3"/>
    <s v="Customer_16"/>
    <x v="248"/>
    <x v="0"/>
    <n v="21"/>
    <n v="31482"/>
    <n v="661122"/>
  </r>
  <r>
    <n v="441"/>
    <x v="1"/>
    <x v="1"/>
    <x v="10"/>
    <x v="1"/>
    <s v="Customer_2"/>
    <x v="71"/>
    <x v="4"/>
    <n v="4"/>
    <n v="18435"/>
    <n v="73740"/>
  </r>
  <r>
    <n v="442"/>
    <x v="0"/>
    <x v="0"/>
    <x v="6"/>
    <x v="2"/>
    <s v="Customer_6"/>
    <x v="249"/>
    <x v="6"/>
    <n v="6"/>
    <n v="37565"/>
    <n v="225390"/>
  </r>
  <r>
    <n v="443"/>
    <x v="4"/>
    <x v="0"/>
    <x v="3"/>
    <x v="4"/>
    <s v="Customer_17"/>
    <x v="21"/>
    <x v="1"/>
    <n v="20"/>
    <n v="35740"/>
    <n v="714800"/>
  </r>
  <r>
    <n v="444"/>
    <x v="4"/>
    <x v="0"/>
    <x v="12"/>
    <x v="0"/>
    <s v="Customer_18"/>
    <x v="250"/>
    <x v="11"/>
    <n v="9"/>
    <n v="24043"/>
    <n v="216387"/>
  </r>
  <r>
    <n v="445"/>
    <x v="3"/>
    <x v="2"/>
    <x v="3"/>
    <x v="4"/>
    <s v="Customer_15"/>
    <x v="10"/>
    <x v="1"/>
    <n v="20"/>
    <n v="24624"/>
    <n v="492480"/>
  </r>
  <r>
    <n v="446"/>
    <x v="2"/>
    <x v="0"/>
    <x v="14"/>
    <x v="0"/>
    <s v="Customer_11"/>
    <x v="251"/>
    <x v="7"/>
    <n v="21"/>
    <n v="5247"/>
    <n v="110187"/>
  </r>
  <r>
    <n v="447"/>
    <x v="3"/>
    <x v="0"/>
    <x v="12"/>
    <x v="1"/>
    <s v="Customer_7"/>
    <x v="88"/>
    <x v="6"/>
    <n v="39"/>
    <n v="46061"/>
    <n v="1796379"/>
  </r>
  <r>
    <n v="448"/>
    <x v="0"/>
    <x v="1"/>
    <x v="7"/>
    <x v="5"/>
    <s v="Customer_16"/>
    <x v="119"/>
    <x v="7"/>
    <n v="34"/>
    <n v="8997"/>
    <n v="305898"/>
  </r>
  <r>
    <n v="449"/>
    <x v="2"/>
    <x v="2"/>
    <x v="4"/>
    <x v="3"/>
    <s v="Customer_3"/>
    <x v="6"/>
    <x v="5"/>
    <n v="34"/>
    <n v="15324"/>
    <n v="521016"/>
  </r>
  <r>
    <n v="450"/>
    <x v="3"/>
    <x v="1"/>
    <x v="0"/>
    <x v="3"/>
    <s v="Customer_6"/>
    <x v="123"/>
    <x v="11"/>
    <n v="50"/>
    <n v="43909"/>
    <n v="2195450"/>
  </r>
  <r>
    <n v="451"/>
    <x v="3"/>
    <x v="0"/>
    <x v="11"/>
    <x v="0"/>
    <s v="Customer_2"/>
    <x v="50"/>
    <x v="1"/>
    <n v="27"/>
    <n v="22466"/>
    <n v="606582"/>
  </r>
  <r>
    <n v="452"/>
    <x v="1"/>
    <x v="0"/>
    <x v="13"/>
    <x v="2"/>
    <s v="Customer_6"/>
    <x v="37"/>
    <x v="5"/>
    <n v="39"/>
    <n v="38462"/>
    <n v="1500018"/>
  </r>
  <r>
    <n v="453"/>
    <x v="2"/>
    <x v="1"/>
    <x v="2"/>
    <x v="2"/>
    <s v="Customer_9"/>
    <x v="132"/>
    <x v="6"/>
    <n v="36"/>
    <n v="12567"/>
    <n v="452412"/>
  </r>
  <r>
    <n v="454"/>
    <x v="2"/>
    <x v="2"/>
    <x v="5"/>
    <x v="3"/>
    <s v="Customer_6"/>
    <x v="252"/>
    <x v="2"/>
    <n v="22"/>
    <n v="1324"/>
    <n v="29128"/>
  </r>
  <r>
    <n v="455"/>
    <x v="1"/>
    <x v="0"/>
    <x v="9"/>
    <x v="0"/>
    <s v="Customer_15"/>
    <x v="253"/>
    <x v="1"/>
    <n v="47"/>
    <n v="8855"/>
    <n v="416185"/>
  </r>
  <r>
    <n v="456"/>
    <x v="4"/>
    <x v="1"/>
    <x v="1"/>
    <x v="0"/>
    <s v="Customer_7"/>
    <x v="129"/>
    <x v="9"/>
    <n v="49"/>
    <n v="46346"/>
    <n v="2270954"/>
  </r>
  <r>
    <n v="457"/>
    <x v="3"/>
    <x v="2"/>
    <x v="15"/>
    <x v="5"/>
    <s v="Customer_10"/>
    <x v="249"/>
    <x v="6"/>
    <n v="10"/>
    <n v="8355"/>
    <n v="83550"/>
  </r>
  <r>
    <n v="458"/>
    <x v="2"/>
    <x v="0"/>
    <x v="7"/>
    <x v="3"/>
    <s v="Customer_2"/>
    <x v="219"/>
    <x v="3"/>
    <n v="27"/>
    <n v="34957"/>
    <n v="943839"/>
  </r>
  <r>
    <n v="459"/>
    <x v="3"/>
    <x v="2"/>
    <x v="14"/>
    <x v="1"/>
    <s v="Customer_20"/>
    <x v="203"/>
    <x v="5"/>
    <n v="27"/>
    <n v="24001"/>
    <n v="648027"/>
  </r>
  <r>
    <n v="460"/>
    <x v="0"/>
    <x v="2"/>
    <x v="3"/>
    <x v="0"/>
    <s v="Customer_7"/>
    <x v="254"/>
    <x v="7"/>
    <n v="32"/>
    <n v="44214"/>
    <n v="1414848"/>
  </r>
  <r>
    <n v="461"/>
    <x v="2"/>
    <x v="1"/>
    <x v="5"/>
    <x v="2"/>
    <s v="Customer_10"/>
    <x v="255"/>
    <x v="5"/>
    <n v="8"/>
    <n v="4882"/>
    <n v="39056"/>
  </r>
  <r>
    <n v="462"/>
    <x v="1"/>
    <x v="0"/>
    <x v="6"/>
    <x v="3"/>
    <s v="Customer_20"/>
    <x v="4"/>
    <x v="3"/>
    <n v="2"/>
    <n v="46352"/>
    <n v="92704"/>
  </r>
  <r>
    <n v="463"/>
    <x v="4"/>
    <x v="1"/>
    <x v="3"/>
    <x v="0"/>
    <s v="Customer_7"/>
    <x v="132"/>
    <x v="6"/>
    <n v="47"/>
    <n v="46757"/>
    <n v="2197579"/>
  </r>
  <r>
    <n v="464"/>
    <x v="0"/>
    <x v="1"/>
    <x v="4"/>
    <x v="4"/>
    <s v="Customer_12"/>
    <x v="34"/>
    <x v="3"/>
    <n v="47"/>
    <n v="26329"/>
    <n v="1237463"/>
  </r>
  <r>
    <n v="465"/>
    <x v="2"/>
    <x v="1"/>
    <x v="1"/>
    <x v="0"/>
    <s v="Customer_17"/>
    <x v="184"/>
    <x v="4"/>
    <n v="20"/>
    <n v="2401"/>
    <n v="48020"/>
  </r>
  <r>
    <n v="466"/>
    <x v="3"/>
    <x v="0"/>
    <x v="11"/>
    <x v="1"/>
    <s v="Customer_16"/>
    <x v="153"/>
    <x v="7"/>
    <n v="42"/>
    <n v="31504"/>
    <n v="1323168"/>
  </r>
  <r>
    <n v="467"/>
    <x v="4"/>
    <x v="2"/>
    <x v="9"/>
    <x v="5"/>
    <s v="Customer_15"/>
    <x v="199"/>
    <x v="3"/>
    <n v="31"/>
    <n v="40818"/>
    <n v="1265358"/>
  </r>
  <r>
    <n v="468"/>
    <x v="3"/>
    <x v="2"/>
    <x v="12"/>
    <x v="5"/>
    <s v="Customer_15"/>
    <x v="19"/>
    <x v="8"/>
    <n v="16"/>
    <n v="13403"/>
    <n v="214448"/>
  </r>
  <r>
    <n v="469"/>
    <x v="3"/>
    <x v="2"/>
    <x v="11"/>
    <x v="3"/>
    <s v="Customer_16"/>
    <x v="84"/>
    <x v="4"/>
    <n v="38"/>
    <n v="33350"/>
    <n v="1267300"/>
  </r>
  <r>
    <n v="470"/>
    <x v="1"/>
    <x v="1"/>
    <x v="2"/>
    <x v="4"/>
    <s v="Customer_12"/>
    <x v="39"/>
    <x v="6"/>
    <n v="5"/>
    <n v="42611"/>
    <n v="213055"/>
  </r>
  <r>
    <n v="471"/>
    <x v="4"/>
    <x v="2"/>
    <x v="6"/>
    <x v="3"/>
    <s v="Customer_10"/>
    <x v="204"/>
    <x v="9"/>
    <n v="2"/>
    <n v="2390"/>
    <n v="4780"/>
  </r>
  <r>
    <n v="472"/>
    <x v="0"/>
    <x v="1"/>
    <x v="1"/>
    <x v="4"/>
    <s v="Customer_13"/>
    <x v="70"/>
    <x v="8"/>
    <n v="4"/>
    <n v="43491"/>
    <n v="173964"/>
  </r>
  <r>
    <n v="473"/>
    <x v="2"/>
    <x v="2"/>
    <x v="7"/>
    <x v="2"/>
    <s v="Customer_19"/>
    <x v="46"/>
    <x v="2"/>
    <n v="20"/>
    <n v="20994"/>
    <n v="419880"/>
  </r>
  <r>
    <n v="474"/>
    <x v="2"/>
    <x v="0"/>
    <x v="9"/>
    <x v="4"/>
    <s v="Customer_6"/>
    <x v="13"/>
    <x v="1"/>
    <n v="25"/>
    <n v="22919"/>
    <n v="572975"/>
  </r>
  <r>
    <n v="475"/>
    <x v="4"/>
    <x v="1"/>
    <x v="2"/>
    <x v="5"/>
    <s v="Customer_12"/>
    <x v="256"/>
    <x v="2"/>
    <n v="18"/>
    <n v="29445"/>
    <n v="530010"/>
  </r>
  <r>
    <n v="476"/>
    <x v="3"/>
    <x v="1"/>
    <x v="1"/>
    <x v="1"/>
    <s v="Customer_16"/>
    <x v="178"/>
    <x v="1"/>
    <n v="3"/>
    <n v="3338"/>
    <n v="10014"/>
  </r>
  <r>
    <n v="477"/>
    <x v="2"/>
    <x v="2"/>
    <x v="5"/>
    <x v="1"/>
    <s v="Customer_5"/>
    <x v="257"/>
    <x v="7"/>
    <n v="18"/>
    <n v="1958"/>
    <n v="35244"/>
  </r>
  <r>
    <n v="478"/>
    <x v="2"/>
    <x v="0"/>
    <x v="1"/>
    <x v="3"/>
    <s v="Customer_15"/>
    <x v="258"/>
    <x v="7"/>
    <n v="23"/>
    <n v="42157"/>
    <n v="969611"/>
  </r>
  <r>
    <n v="479"/>
    <x v="3"/>
    <x v="2"/>
    <x v="9"/>
    <x v="4"/>
    <s v="Customer_1"/>
    <x v="66"/>
    <x v="3"/>
    <n v="2"/>
    <n v="32997"/>
    <n v="65994"/>
  </r>
  <r>
    <n v="480"/>
    <x v="1"/>
    <x v="2"/>
    <x v="0"/>
    <x v="3"/>
    <s v="Customer_2"/>
    <x v="236"/>
    <x v="5"/>
    <n v="38"/>
    <n v="6817"/>
    <n v="259046"/>
  </r>
  <r>
    <n v="481"/>
    <x v="0"/>
    <x v="0"/>
    <x v="0"/>
    <x v="0"/>
    <s v="Customer_14"/>
    <x v="246"/>
    <x v="3"/>
    <n v="6"/>
    <n v="7061"/>
    <n v="42366"/>
  </r>
  <r>
    <n v="482"/>
    <x v="3"/>
    <x v="1"/>
    <x v="8"/>
    <x v="4"/>
    <s v="Customer_18"/>
    <x v="170"/>
    <x v="5"/>
    <n v="23"/>
    <n v="29184"/>
    <n v="671232"/>
  </r>
  <r>
    <n v="483"/>
    <x v="1"/>
    <x v="2"/>
    <x v="13"/>
    <x v="2"/>
    <s v="Customer_9"/>
    <x v="235"/>
    <x v="7"/>
    <n v="46"/>
    <n v="48056"/>
    <n v="2210576"/>
  </r>
  <r>
    <n v="484"/>
    <x v="0"/>
    <x v="1"/>
    <x v="1"/>
    <x v="2"/>
    <s v="Customer_2"/>
    <x v="165"/>
    <x v="5"/>
    <n v="30"/>
    <n v="25721"/>
    <n v="771630"/>
  </r>
  <r>
    <n v="485"/>
    <x v="0"/>
    <x v="0"/>
    <x v="0"/>
    <x v="4"/>
    <s v="Customer_19"/>
    <x v="259"/>
    <x v="10"/>
    <n v="19"/>
    <n v="12769"/>
    <n v="242611"/>
  </r>
  <r>
    <n v="486"/>
    <x v="0"/>
    <x v="2"/>
    <x v="0"/>
    <x v="0"/>
    <s v="Customer_14"/>
    <x v="141"/>
    <x v="10"/>
    <n v="16"/>
    <n v="5334"/>
    <n v="85344"/>
  </r>
  <r>
    <n v="487"/>
    <x v="3"/>
    <x v="0"/>
    <x v="1"/>
    <x v="4"/>
    <s v="Customer_4"/>
    <x v="260"/>
    <x v="4"/>
    <n v="34"/>
    <n v="10518"/>
    <n v="357612"/>
  </r>
  <r>
    <n v="488"/>
    <x v="3"/>
    <x v="2"/>
    <x v="7"/>
    <x v="0"/>
    <s v="Customer_16"/>
    <x v="123"/>
    <x v="11"/>
    <n v="23"/>
    <n v="47119"/>
    <n v="1083737"/>
  </r>
  <r>
    <n v="489"/>
    <x v="2"/>
    <x v="0"/>
    <x v="15"/>
    <x v="3"/>
    <s v="Customer_18"/>
    <x v="93"/>
    <x v="6"/>
    <n v="44"/>
    <n v="14220"/>
    <n v="625680"/>
  </r>
  <r>
    <n v="490"/>
    <x v="1"/>
    <x v="2"/>
    <x v="5"/>
    <x v="0"/>
    <s v="Customer_7"/>
    <x v="131"/>
    <x v="9"/>
    <n v="2"/>
    <n v="12088"/>
    <n v="24176"/>
  </r>
  <r>
    <n v="491"/>
    <x v="0"/>
    <x v="0"/>
    <x v="8"/>
    <x v="2"/>
    <s v="Customer_13"/>
    <x v="261"/>
    <x v="1"/>
    <n v="10"/>
    <n v="31409"/>
    <n v="314090"/>
  </r>
  <r>
    <n v="492"/>
    <x v="0"/>
    <x v="0"/>
    <x v="15"/>
    <x v="2"/>
    <s v="Customer_19"/>
    <x v="70"/>
    <x v="8"/>
    <n v="33"/>
    <n v="45103"/>
    <n v="1488399"/>
  </r>
  <r>
    <n v="493"/>
    <x v="3"/>
    <x v="0"/>
    <x v="3"/>
    <x v="3"/>
    <s v="Customer_4"/>
    <x v="228"/>
    <x v="11"/>
    <n v="34"/>
    <n v="34718"/>
    <n v="1180412"/>
  </r>
  <r>
    <n v="494"/>
    <x v="2"/>
    <x v="1"/>
    <x v="8"/>
    <x v="0"/>
    <s v="Customer_15"/>
    <x v="262"/>
    <x v="11"/>
    <n v="38"/>
    <n v="22545"/>
    <n v="856710"/>
  </r>
  <r>
    <n v="495"/>
    <x v="0"/>
    <x v="1"/>
    <x v="4"/>
    <x v="2"/>
    <s v="Customer_1"/>
    <x v="263"/>
    <x v="10"/>
    <n v="46"/>
    <n v="4097"/>
    <n v="188462"/>
  </r>
  <r>
    <n v="496"/>
    <x v="0"/>
    <x v="1"/>
    <x v="8"/>
    <x v="3"/>
    <s v="Customer_2"/>
    <x v="121"/>
    <x v="0"/>
    <n v="16"/>
    <n v="27678"/>
    <n v="442848"/>
  </r>
  <r>
    <n v="497"/>
    <x v="3"/>
    <x v="1"/>
    <x v="0"/>
    <x v="1"/>
    <s v="Customer_6"/>
    <x v="264"/>
    <x v="8"/>
    <n v="26"/>
    <n v="26633"/>
    <n v="692458"/>
  </r>
  <r>
    <n v="498"/>
    <x v="0"/>
    <x v="1"/>
    <x v="6"/>
    <x v="5"/>
    <s v="Customer_4"/>
    <x v="191"/>
    <x v="2"/>
    <n v="49"/>
    <n v="37949"/>
    <n v="1859501"/>
  </r>
  <r>
    <n v="499"/>
    <x v="1"/>
    <x v="2"/>
    <x v="7"/>
    <x v="4"/>
    <s v="Customer_7"/>
    <x v="33"/>
    <x v="6"/>
    <n v="19"/>
    <n v="32980"/>
    <n v="626620"/>
  </r>
  <r>
    <n v="500"/>
    <x v="0"/>
    <x v="2"/>
    <x v="1"/>
    <x v="0"/>
    <s v="Customer_10"/>
    <x v="221"/>
    <x v="0"/>
    <n v="36"/>
    <n v="49889"/>
    <n v="1796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AF5949-32AC-4CC4-B8EF-827CEE4B5BC7}" name="Units_sold"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2:C3" firstHeaderRow="1" firstDataRow="1" firstDataCol="0"/>
  <pivotFields count="11">
    <pivotField showAll="0"/>
    <pivotField showAll="0">
      <items count="6">
        <item h="1" x="4"/>
        <item x="3"/>
        <item h="1" x="0"/>
        <item h="1" x="2"/>
        <item h="1" x="1"/>
        <item t="default"/>
      </items>
    </pivotField>
    <pivotField showAll="0">
      <items count="4">
        <item x="0"/>
        <item x="2"/>
        <item x="1"/>
        <item t="default"/>
      </items>
    </pivotField>
    <pivotField showAll="0"/>
    <pivotField showAll="0">
      <items count="7">
        <item h="1" x="1"/>
        <item x="5"/>
        <item h="1" x="4"/>
        <item h="1" x="2"/>
        <item h="1" x="3"/>
        <item h="1" x="0"/>
        <item t="default"/>
      </items>
    </pivotField>
    <pivotField showAll="0"/>
    <pivotField numFmtId="164" showAll="0">
      <items count="266">
        <item x="8"/>
        <item x="44"/>
        <item x="258"/>
        <item x="182"/>
        <item x="168"/>
        <item x="69"/>
        <item x="155"/>
        <item x="86"/>
        <item x="235"/>
        <item x="119"/>
        <item x="257"/>
        <item x="153"/>
        <item x="254"/>
        <item x="65"/>
        <item x="234"/>
        <item x="251"/>
        <item x="175"/>
        <item x="57"/>
        <item x="41"/>
        <item x="85"/>
        <item x="30"/>
        <item x="53"/>
        <item x="232"/>
        <item x="231"/>
        <item x="77"/>
        <item x="241"/>
        <item x="129"/>
        <item x="207"/>
        <item x="79"/>
        <item x="131"/>
        <item x="179"/>
        <item x="176"/>
        <item x="18"/>
        <item x="202"/>
        <item x="143"/>
        <item x="42"/>
        <item x="245"/>
        <item x="215"/>
        <item x="73"/>
        <item x="75"/>
        <item x="210"/>
        <item x="204"/>
        <item x="111"/>
        <item x="125"/>
        <item x="223"/>
        <item x="84"/>
        <item x="103"/>
        <item x="172"/>
        <item x="128"/>
        <item x="16"/>
        <item x="94"/>
        <item x="118"/>
        <item x="133"/>
        <item x="184"/>
        <item x="26"/>
        <item x="32"/>
        <item x="71"/>
        <item x="162"/>
        <item x="5"/>
        <item x="43"/>
        <item x="193"/>
        <item x="216"/>
        <item x="209"/>
        <item x="14"/>
        <item x="101"/>
        <item x="140"/>
        <item x="120"/>
        <item x="260"/>
        <item x="224"/>
        <item x="7"/>
        <item x="33"/>
        <item x="227"/>
        <item x="132"/>
        <item x="196"/>
        <item x="192"/>
        <item x="39"/>
        <item x="48"/>
        <item x="40"/>
        <item x="100"/>
        <item x="183"/>
        <item x="156"/>
        <item x="74"/>
        <item x="25"/>
        <item x="189"/>
        <item x="212"/>
        <item x="249"/>
        <item x="88"/>
        <item x="93"/>
        <item x="238"/>
        <item x="11"/>
        <item x="248"/>
        <item x="80"/>
        <item x="68"/>
        <item x="105"/>
        <item x="115"/>
        <item x="29"/>
        <item x="221"/>
        <item x="226"/>
        <item x="190"/>
        <item x="49"/>
        <item x="187"/>
        <item x="121"/>
        <item x="217"/>
        <item x="55"/>
        <item x="83"/>
        <item x="0"/>
        <item x="52"/>
        <item x="148"/>
        <item x="141"/>
        <item x="92"/>
        <item x="38"/>
        <item x="61"/>
        <item x="110"/>
        <item x="181"/>
        <item x="222"/>
        <item x="229"/>
        <item x="195"/>
        <item x="81"/>
        <item x="201"/>
        <item x="259"/>
        <item x="263"/>
        <item x="243"/>
        <item x="230"/>
        <item x="114"/>
        <item x="177"/>
        <item x="54"/>
        <item x="27"/>
        <item x="24"/>
        <item x="91"/>
        <item x="4"/>
        <item x="99"/>
        <item x="185"/>
        <item x="87"/>
        <item x="138"/>
        <item x="169"/>
        <item x="151"/>
        <item x="242"/>
        <item x="147"/>
        <item x="174"/>
        <item x="66"/>
        <item x="219"/>
        <item x="34"/>
        <item x="107"/>
        <item x="23"/>
        <item x="199"/>
        <item x="159"/>
        <item x="56"/>
        <item x="22"/>
        <item x="36"/>
        <item x="31"/>
        <item x="246"/>
        <item x="123"/>
        <item x="250"/>
        <item x="149"/>
        <item x="237"/>
        <item x="228"/>
        <item x="180"/>
        <item x="262"/>
        <item x="164"/>
        <item x="158"/>
        <item x="214"/>
        <item x="113"/>
        <item x="154"/>
        <item x="173"/>
        <item x="244"/>
        <item x="239"/>
        <item x="58"/>
        <item x="144"/>
        <item x="136"/>
        <item x="137"/>
        <item x="102"/>
        <item x="127"/>
        <item x="28"/>
        <item x="59"/>
        <item x="255"/>
        <item x="98"/>
        <item x="76"/>
        <item x="170"/>
        <item x="72"/>
        <item x="134"/>
        <item x="150"/>
        <item x="20"/>
        <item x="157"/>
        <item x="37"/>
        <item x="194"/>
        <item x="104"/>
        <item x="135"/>
        <item x="108"/>
        <item x="45"/>
        <item x="203"/>
        <item x="6"/>
        <item x="236"/>
        <item x="106"/>
        <item x="188"/>
        <item x="126"/>
        <item x="165"/>
        <item x="12"/>
        <item x="146"/>
        <item x="152"/>
        <item x="191"/>
        <item x="186"/>
        <item x="252"/>
        <item x="112"/>
        <item x="130"/>
        <item x="122"/>
        <item x="47"/>
        <item x="256"/>
        <item x="82"/>
        <item x="163"/>
        <item x="35"/>
        <item x="247"/>
        <item x="3"/>
        <item x="205"/>
        <item x="64"/>
        <item x="117"/>
        <item x="206"/>
        <item x="2"/>
        <item x="15"/>
        <item x="46"/>
        <item x="63"/>
        <item x="240"/>
        <item x="253"/>
        <item x="198"/>
        <item x="95"/>
        <item x="60"/>
        <item x="220"/>
        <item x="50"/>
        <item x="21"/>
        <item x="167"/>
        <item x="225"/>
        <item x="166"/>
        <item x="208"/>
        <item x="89"/>
        <item x="13"/>
        <item x="1"/>
        <item x="178"/>
        <item x="10"/>
        <item x="78"/>
        <item x="213"/>
        <item x="200"/>
        <item x="142"/>
        <item x="261"/>
        <item x="197"/>
        <item x="116"/>
        <item x="171"/>
        <item x="233"/>
        <item x="17"/>
        <item x="161"/>
        <item x="124"/>
        <item x="62"/>
        <item x="51"/>
        <item x="70"/>
        <item x="264"/>
        <item x="145"/>
        <item x="139"/>
        <item x="109"/>
        <item x="96"/>
        <item x="160"/>
        <item x="19"/>
        <item x="9"/>
        <item x="67"/>
        <item x="218"/>
        <item x="97"/>
        <item x="90"/>
        <item x="211"/>
        <item t="default"/>
      </items>
    </pivotField>
    <pivotField showAll="0"/>
    <pivotField dataField="1" showAll="0"/>
    <pivotField showAll="0"/>
    <pivotField showAll="0"/>
  </pivotFields>
  <rowItems count="1">
    <i/>
  </rowItems>
  <colItems count="1">
    <i/>
  </colItems>
  <dataFields count="1">
    <dataField name="Sum of Units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601512-154F-4308-B9DB-AC10F1434046}" name="total_sale"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A3" firstHeaderRow="1" firstDataRow="1" firstDataCol="0"/>
  <pivotFields count="11">
    <pivotField showAll="0"/>
    <pivotField showAll="0">
      <items count="6">
        <item h="1" x="4"/>
        <item x="3"/>
        <item h="1" x="0"/>
        <item h="1" x="2"/>
        <item h="1" x="1"/>
        <item t="default"/>
      </items>
    </pivotField>
    <pivotField showAll="0">
      <items count="4">
        <item x="0"/>
        <item x="2"/>
        <item x="1"/>
        <item t="default"/>
      </items>
    </pivotField>
    <pivotField showAll="0"/>
    <pivotField showAll="0">
      <items count="7">
        <item h="1" x="1"/>
        <item x="5"/>
        <item h="1" x="4"/>
        <item h="1" x="2"/>
        <item h="1" x="3"/>
        <item h="1" x="0"/>
        <item t="default"/>
      </items>
    </pivotField>
    <pivotField showAll="0"/>
    <pivotField numFmtId="164" showAll="0">
      <items count="266">
        <item x="8"/>
        <item x="44"/>
        <item x="258"/>
        <item x="182"/>
        <item x="168"/>
        <item x="69"/>
        <item x="155"/>
        <item x="86"/>
        <item x="235"/>
        <item x="119"/>
        <item x="257"/>
        <item x="153"/>
        <item x="254"/>
        <item x="65"/>
        <item x="234"/>
        <item x="251"/>
        <item x="175"/>
        <item x="57"/>
        <item x="41"/>
        <item x="85"/>
        <item x="30"/>
        <item x="53"/>
        <item x="232"/>
        <item x="231"/>
        <item x="77"/>
        <item x="241"/>
        <item x="129"/>
        <item x="207"/>
        <item x="79"/>
        <item x="131"/>
        <item x="179"/>
        <item x="176"/>
        <item x="18"/>
        <item x="202"/>
        <item x="143"/>
        <item x="42"/>
        <item x="245"/>
        <item x="215"/>
        <item x="73"/>
        <item x="75"/>
        <item x="210"/>
        <item x="204"/>
        <item x="111"/>
        <item x="125"/>
        <item x="223"/>
        <item x="84"/>
        <item x="103"/>
        <item x="172"/>
        <item x="128"/>
        <item x="16"/>
        <item x="94"/>
        <item x="118"/>
        <item x="133"/>
        <item x="184"/>
        <item x="26"/>
        <item x="32"/>
        <item x="71"/>
        <item x="162"/>
        <item x="5"/>
        <item x="43"/>
        <item x="193"/>
        <item x="216"/>
        <item x="209"/>
        <item x="14"/>
        <item x="101"/>
        <item x="140"/>
        <item x="120"/>
        <item x="260"/>
        <item x="224"/>
        <item x="7"/>
        <item x="33"/>
        <item x="227"/>
        <item x="132"/>
        <item x="196"/>
        <item x="192"/>
        <item x="39"/>
        <item x="48"/>
        <item x="40"/>
        <item x="100"/>
        <item x="183"/>
        <item x="156"/>
        <item x="74"/>
        <item x="25"/>
        <item x="189"/>
        <item x="212"/>
        <item x="249"/>
        <item x="88"/>
        <item x="93"/>
        <item x="238"/>
        <item x="11"/>
        <item x="248"/>
        <item x="80"/>
        <item x="68"/>
        <item x="105"/>
        <item x="115"/>
        <item x="29"/>
        <item x="221"/>
        <item x="226"/>
        <item x="190"/>
        <item x="49"/>
        <item x="187"/>
        <item x="121"/>
        <item x="217"/>
        <item x="55"/>
        <item x="83"/>
        <item x="0"/>
        <item x="52"/>
        <item x="148"/>
        <item x="141"/>
        <item x="92"/>
        <item x="38"/>
        <item x="61"/>
        <item x="110"/>
        <item x="181"/>
        <item x="222"/>
        <item x="229"/>
        <item x="195"/>
        <item x="81"/>
        <item x="201"/>
        <item x="259"/>
        <item x="263"/>
        <item x="243"/>
        <item x="230"/>
        <item x="114"/>
        <item x="177"/>
        <item x="54"/>
        <item x="27"/>
        <item x="24"/>
        <item x="91"/>
        <item x="4"/>
        <item x="99"/>
        <item x="185"/>
        <item x="87"/>
        <item x="138"/>
        <item x="169"/>
        <item x="151"/>
        <item x="242"/>
        <item x="147"/>
        <item x="174"/>
        <item x="66"/>
        <item x="219"/>
        <item x="34"/>
        <item x="107"/>
        <item x="23"/>
        <item x="199"/>
        <item x="159"/>
        <item x="56"/>
        <item x="22"/>
        <item x="36"/>
        <item x="31"/>
        <item x="246"/>
        <item x="123"/>
        <item x="250"/>
        <item x="149"/>
        <item x="237"/>
        <item x="228"/>
        <item x="180"/>
        <item x="262"/>
        <item x="164"/>
        <item x="158"/>
        <item x="214"/>
        <item x="113"/>
        <item x="154"/>
        <item x="173"/>
        <item x="244"/>
        <item x="239"/>
        <item x="58"/>
        <item x="144"/>
        <item x="136"/>
        <item x="137"/>
        <item x="102"/>
        <item x="127"/>
        <item x="28"/>
        <item x="59"/>
        <item x="255"/>
        <item x="98"/>
        <item x="76"/>
        <item x="170"/>
        <item x="72"/>
        <item x="134"/>
        <item x="150"/>
        <item x="20"/>
        <item x="157"/>
        <item x="37"/>
        <item x="194"/>
        <item x="104"/>
        <item x="135"/>
        <item x="108"/>
        <item x="45"/>
        <item x="203"/>
        <item x="6"/>
        <item x="236"/>
        <item x="106"/>
        <item x="188"/>
        <item x="126"/>
        <item x="165"/>
        <item x="12"/>
        <item x="146"/>
        <item x="152"/>
        <item x="191"/>
        <item x="186"/>
        <item x="252"/>
        <item x="112"/>
        <item x="130"/>
        <item x="122"/>
        <item x="47"/>
        <item x="256"/>
        <item x="82"/>
        <item x="163"/>
        <item x="35"/>
        <item x="247"/>
        <item x="3"/>
        <item x="205"/>
        <item x="64"/>
        <item x="117"/>
        <item x="206"/>
        <item x="2"/>
        <item x="15"/>
        <item x="46"/>
        <item x="63"/>
        <item x="240"/>
        <item x="253"/>
        <item x="198"/>
        <item x="95"/>
        <item x="60"/>
        <item x="220"/>
        <item x="50"/>
        <item x="21"/>
        <item x="167"/>
        <item x="225"/>
        <item x="166"/>
        <item x="208"/>
        <item x="89"/>
        <item x="13"/>
        <item x="1"/>
        <item x="178"/>
        <item x="10"/>
        <item x="78"/>
        <item x="213"/>
        <item x="200"/>
        <item x="142"/>
        <item x="261"/>
        <item x="197"/>
        <item x="116"/>
        <item x="171"/>
        <item x="233"/>
        <item x="17"/>
        <item x="161"/>
        <item x="124"/>
        <item x="62"/>
        <item x="51"/>
        <item x="70"/>
        <item x="264"/>
        <item x="145"/>
        <item x="139"/>
        <item x="109"/>
        <item x="96"/>
        <item x="160"/>
        <item x="19"/>
        <item x="9"/>
        <item x="67"/>
        <item x="218"/>
        <item x="97"/>
        <item x="90"/>
        <item x="211"/>
        <item t="default"/>
      </items>
    </pivotField>
    <pivotField showAll="0"/>
    <pivotField showAll="0"/>
    <pivotField showAll="0"/>
    <pivotField dataField="1" showAll="0"/>
  </pivotFields>
  <rowItems count="1">
    <i/>
  </rowItems>
  <colItems count="1">
    <i/>
  </colItems>
  <dataFields count="1">
    <dataField name="Sum of Total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DF680D-F92D-4370-8C74-25FAE6C501D4}" name="sumofcustomer"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0:A11" firstHeaderRow="1" firstDataRow="1" firstDataCol="0"/>
  <pivotFields count="11">
    <pivotField showAll="0"/>
    <pivotField showAll="0">
      <items count="6">
        <item h="1" x="4"/>
        <item x="3"/>
        <item h="1" x="0"/>
        <item h="1" x="2"/>
        <item h="1" x="1"/>
        <item t="default"/>
      </items>
    </pivotField>
    <pivotField showAll="0">
      <items count="4">
        <item x="0"/>
        <item x="2"/>
        <item x="1"/>
        <item t="default"/>
      </items>
    </pivotField>
    <pivotField showAll="0"/>
    <pivotField showAll="0">
      <items count="7">
        <item h="1" x="1"/>
        <item x="5"/>
        <item h="1" x="4"/>
        <item h="1" x="2"/>
        <item h="1" x="3"/>
        <item h="1" x="0"/>
        <item t="default"/>
      </items>
    </pivotField>
    <pivotField dataField="1" multipleItemSelectionAllowed="1" showAll="0"/>
    <pivotField numFmtId="164" showAll="0">
      <items count="266">
        <item x="8"/>
        <item x="44"/>
        <item x="258"/>
        <item x="182"/>
        <item x="168"/>
        <item x="69"/>
        <item x="155"/>
        <item x="86"/>
        <item x="235"/>
        <item x="119"/>
        <item x="257"/>
        <item x="153"/>
        <item x="254"/>
        <item x="65"/>
        <item x="234"/>
        <item x="251"/>
        <item x="175"/>
        <item x="57"/>
        <item x="41"/>
        <item x="85"/>
        <item x="30"/>
        <item x="53"/>
        <item x="232"/>
        <item x="231"/>
        <item x="77"/>
        <item x="241"/>
        <item x="129"/>
        <item x="207"/>
        <item x="79"/>
        <item x="131"/>
        <item x="179"/>
        <item x="176"/>
        <item x="18"/>
        <item x="202"/>
        <item x="143"/>
        <item x="42"/>
        <item x="245"/>
        <item x="215"/>
        <item x="73"/>
        <item x="75"/>
        <item x="210"/>
        <item x="204"/>
        <item x="111"/>
        <item x="125"/>
        <item x="223"/>
        <item x="84"/>
        <item x="103"/>
        <item x="172"/>
        <item x="128"/>
        <item x="16"/>
        <item x="94"/>
        <item x="118"/>
        <item x="133"/>
        <item x="184"/>
        <item x="26"/>
        <item x="32"/>
        <item x="71"/>
        <item x="162"/>
        <item x="5"/>
        <item x="43"/>
        <item x="193"/>
        <item x="216"/>
        <item x="209"/>
        <item x="14"/>
        <item x="101"/>
        <item x="140"/>
        <item x="120"/>
        <item x="260"/>
        <item x="224"/>
        <item x="7"/>
        <item x="33"/>
        <item x="227"/>
        <item x="132"/>
        <item x="196"/>
        <item x="192"/>
        <item x="39"/>
        <item x="48"/>
        <item x="40"/>
        <item x="100"/>
        <item x="183"/>
        <item x="156"/>
        <item x="74"/>
        <item x="25"/>
        <item x="189"/>
        <item x="212"/>
        <item x="249"/>
        <item x="88"/>
        <item x="93"/>
        <item x="238"/>
        <item x="11"/>
        <item x="248"/>
        <item x="80"/>
        <item x="68"/>
        <item x="105"/>
        <item x="115"/>
        <item x="29"/>
        <item x="221"/>
        <item x="226"/>
        <item x="190"/>
        <item x="49"/>
        <item x="187"/>
        <item x="121"/>
        <item x="217"/>
        <item x="55"/>
        <item x="83"/>
        <item x="0"/>
        <item x="52"/>
        <item x="148"/>
        <item x="141"/>
        <item x="92"/>
        <item x="38"/>
        <item x="61"/>
        <item x="110"/>
        <item x="181"/>
        <item x="222"/>
        <item x="229"/>
        <item x="195"/>
        <item x="81"/>
        <item x="201"/>
        <item x="259"/>
        <item x="263"/>
        <item x="243"/>
        <item x="230"/>
        <item x="114"/>
        <item x="177"/>
        <item x="54"/>
        <item x="27"/>
        <item x="24"/>
        <item x="91"/>
        <item x="4"/>
        <item x="99"/>
        <item x="185"/>
        <item x="87"/>
        <item x="138"/>
        <item x="169"/>
        <item x="151"/>
        <item x="242"/>
        <item x="147"/>
        <item x="174"/>
        <item x="66"/>
        <item x="219"/>
        <item x="34"/>
        <item x="107"/>
        <item x="23"/>
        <item x="199"/>
        <item x="159"/>
        <item x="56"/>
        <item x="22"/>
        <item x="36"/>
        <item x="31"/>
        <item x="246"/>
        <item x="123"/>
        <item x="250"/>
        <item x="149"/>
        <item x="237"/>
        <item x="228"/>
        <item x="180"/>
        <item x="262"/>
        <item x="164"/>
        <item x="158"/>
        <item x="214"/>
        <item x="113"/>
        <item x="154"/>
        <item x="173"/>
        <item x="244"/>
        <item x="239"/>
        <item x="58"/>
        <item x="144"/>
        <item x="136"/>
        <item x="137"/>
        <item x="102"/>
        <item x="127"/>
        <item x="28"/>
        <item x="59"/>
        <item x="255"/>
        <item x="98"/>
        <item x="76"/>
        <item x="170"/>
        <item x="72"/>
        <item x="134"/>
        <item x="150"/>
        <item x="20"/>
        <item x="157"/>
        <item x="37"/>
        <item x="194"/>
        <item x="104"/>
        <item x="135"/>
        <item x="108"/>
        <item x="45"/>
        <item x="203"/>
        <item x="6"/>
        <item x="236"/>
        <item x="106"/>
        <item x="188"/>
        <item x="126"/>
        <item x="165"/>
        <item x="12"/>
        <item x="146"/>
        <item x="152"/>
        <item x="191"/>
        <item x="186"/>
        <item x="252"/>
        <item x="112"/>
        <item x="130"/>
        <item x="122"/>
        <item x="47"/>
        <item x="256"/>
        <item x="82"/>
        <item x="163"/>
        <item x="35"/>
        <item x="247"/>
        <item x="3"/>
        <item x="205"/>
        <item x="64"/>
        <item x="117"/>
        <item x="206"/>
        <item x="2"/>
        <item x="15"/>
        <item x="46"/>
        <item x="63"/>
        <item x="240"/>
        <item x="253"/>
        <item x="198"/>
        <item x="95"/>
        <item x="60"/>
        <item x="220"/>
        <item x="50"/>
        <item x="21"/>
        <item x="167"/>
        <item x="225"/>
        <item x="166"/>
        <item x="208"/>
        <item x="89"/>
        <item x="13"/>
        <item x="1"/>
        <item x="178"/>
        <item x="10"/>
        <item x="78"/>
        <item x="213"/>
        <item x="200"/>
        <item x="142"/>
        <item x="261"/>
        <item x="197"/>
        <item x="116"/>
        <item x="171"/>
        <item x="233"/>
        <item x="17"/>
        <item x="161"/>
        <item x="124"/>
        <item x="62"/>
        <item x="51"/>
        <item x="70"/>
        <item x="264"/>
        <item x="145"/>
        <item x="139"/>
        <item x="109"/>
        <item x="96"/>
        <item x="160"/>
        <item x="19"/>
        <item x="9"/>
        <item x="67"/>
        <item x="218"/>
        <item x="97"/>
        <item x="90"/>
        <item x="211"/>
        <item t="default"/>
      </items>
    </pivotField>
    <pivotField showAll="0"/>
    <pivotField showAll="0"/>
    <pivotField showAll="0"/>
    <pivotField showAll="0"/>
  </pivotFields>
  <rowItems count="1">
    <i/>
  </rowItems>
  <colItems count="1">
    <i/>
  </colItems>
  <dataFields count="1">
    <dataField name="Count of Customer2"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6C627C-32C5-418A-A70B-3B50214A6351}" name="PivotTable5"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1:A22" firstHeaderRow="1" firstDataRow="1" firstDataCol="0"/>
  <pivotFields count="1">
    <pivotField dataField="1" subtotalTop="0" showAll="0" defaultSubtotal="0"/>
  </pivotFields>
  <rowItems count="1">
    <i/>
  </rowItems>
  <colItems count="1">
    <i/>
  </colItems>
  <dataFields count="1">
    <dataField name="Distinct Count of Customer" fld="0" subtotal="count" baseField="0" baseItem="0">
      <extLst>
        <ext xmlns:x15="http://schemas.microsoft.com/office/spreadsheetml/2010/11/main" uri="{FABC7310-3BB5-11E1-824E-6D434824019B}">
          <x15:dataField isCountDistinct="1"/>
        </ext>
      </extLst>
    </dataField>
  </dataField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K$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57C3A2-4D58-47D8-A08B-25B3606ACD67}" name="PivotTable7"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L2:M12" firstHeaderRow="1" firstDataRow="1" firstDataCol="1"/>
  <pivotFields count="11">
    <pivotField showAll="0"/>
    <pivotField showAll="0">
      <items count="6">
        <item h="1" x="4"/>
        <item x="3"/>
        <item h="1" x="0"/>
        <item h="1" x="2"/>
        <item h="1" x="1"/>
        <item t="default"/>
      </items>
    </pivotField>
    <pivotField showAll="0">
      <items count="4">
        <item x="0"/>
        <item x="2"/>
        <item x="1"/>
        <item t="default"/>
      </items>
    </pivotField>
    <pivotField showAll="0"/>
    <pivotField showAll="0">
      <items count="7">
        <item h="1" x="1"/>
        <item x="5"/>
        <item h="1" x="4"/>
        <item h="1" x="2"/>
        <item h="1" x="3"/>
        <item h="1" x="0"/>
        <item t="default"/>
      </items>
    </pivotField>
    <pivotField showAll="0"/>
    <pivotField numFmtId="164" showAll="0">
      <items count="266">
        <item x="8"/>
        <item x="44"/>
        <item x="258"/>
        <item x="182"/>
        <item x="168"/>
        <item x="69"/>
        <item x="155"/>
        <item x="86"/>
        <item x="235"/>
        <item x="119"/>
        <item x="257"/>
        <item x="153"/>
        <item x="254"/>
        <item x="65"/>
        <item x="234"/>
        <item x="251"/>
        <item x="175"/>
        <item x="57"/>
        <item x="41"/>
        <item x="85"/>
        <item x="30"/>
        <item x="53"/>
        <item x="232"/>
        <item x="231"/>
        <item x="77"/>
        <item x="241"/>
        <item x="129"/>
        <item x="207"/>
        <item x="79"/>
        <item x="131"/>
        <item x="179"/>
        <item x="176"/>
        <item x="18"/>
        <item x="202"/>
        <item x="143"/>
        <item x="42"/>
        <item x="245"/>
        <item x="215"/>
        <item x="73"/>
        <item x="75"/>
        <item x="210"/>
        <item x="204"/>
        <item x="111"/>
        <item x="125"/>
        <item x="223"/>
        <item x="84"/>
        <item x="103"/>
        <item x="172"/>
        <item x="128"/>
        <item x="16"/>
        <item x="94"/>
        <item x="118"/>
        <item x="133"/>
        <item x="184"/>
        <item x="26"/>
        <item x="32"/>
        <item x="71"/>
        <item x="162"/>
        <item x="5"/>
        <item x="43"/>
        <item x="193"/>
        <item x="216"/>
        <item x="209"/>
        <item x="14"/>
        <item x="101"/>
        <item x="140"/>
        <item x="120"/>
        <item x="260"/>
        <item x="224"/>
        <item x="7"/>
        <item x="33"/>
        <item x="227"/>
        <item x="132"/>
        <item x="196"/>
        <item x="192"/>
        <item x="39"/>
        <item x="48"/>
        <item x="40"/>
        <item x="100"/>
        <item x="183"/>
        <item x="156"/>
        <item x="74"/>
        <item x="25"/>
        <item x="189"/>
        <item x="212"/>
        <item x="249"/>
        <item x="88"/>
        <item x="93"/>
        <item x="238"/>
        <item x="11"/>
        <item x="248"/>
        <item x="80"/>
        <item x="68"/>
        <item x="105"/>
        <item x="115"/>
        <item x="29"/>
        <item x="221"/>
        <item x="226"/>
        <item x="190"/>
        <item x="49"/>
        <item x="187"/>
        <item x="121"/>
        <item x="217"/>
        <item x="55"/>
        <item x="83"/>
        <item x="0"/>
        <item x="52"/>
        <item x="148"/>
        <item x="141"/>
        <item x="92"/>
        <item x="38"/>
        <item x="61"/>
        <item x="110"/>
        <item x="181"/>
        <item x="222"/>
        <item x="229"/>
        <item x="195"/>
        <item x="81"/>
        <item x="201"/>
        <item x="259"/>
        <item x="263"/>
        <item x="243"/>
        <item x="230"/>
        <item x="114"/>
        <item x="177"/>
        <item x="54"/>
        <item x="27"/>
        <item x="24"/>
        <item x="91"/>
        <item x="4"/>
        <item x="99"/>
        <item x="185"/>
        <item x="87"/>
        <item x="138"/>
        <item x="169"/>
        <item x="151"/>
        <item x="242"/>
        <item x="147"/>
        <item x="174"/>
        <item x="66"/>
        <item x="219"/>
        <item x="34"/>
        <item x="107"/>
        <item x="23"/>
        <item x="199"/>
        <item x="159"/>
        <item x="56"/>
        <item x="22"/>
        <item x="36"/>
        <item x="31"/>
        <item x="246"/>
        <item x="123"/>
        <item x="250"/>
        <item x="149"/>
        <item x="237"/>
        <item x="228"/>
        <item x="180"/>
        <item x="262"/>
        <item x="164"/>
        <item x="158"/>
        <item x="214"/>
        <item x="113"/>
        <item x="154"/>
        <item x="173"/>
        <item x="244"/>
        <item x="239"/>
        <item x="58"/>
        <item x="144"/>
        <item x="136"/>
        <item x="137"/>
        <item x="102"/>
        <item x="127"/>
        <item x="28"/>
        <item x="59"/>
        <item x="255"/>
        <item x="98"/>
        <item x="76"/>
        <item x="170"/>
        <item x="72"/>
        <item x="134"/>
        <item x="150"/>
        <item x="20"/>
        <item x="157"/>
        <item x="37"/>
        <item x="194"/>
        <item x="104"/>
        <item x="135"/>
        <item x="108"/>
        <item x="45"/>
        <item x="203"/>
        <item x="6"/>
        <item x="236"/>
        <item x="106"/>
        <item x="188"/>
        <item x="126"/>
        <item x="165"/>
        <item x="12"/>
        <item x="146"/>
        <item x="152"/>
        <item x="191"/>
        <item x="186"/>
        <item x="252"/>
        <item x="112"/>
        <item x="130"/>
        <item x="122"/>
        <item x="47"/>
        <item x="256"/>
        <item x="82"/>
        <item x="163"/>
        <item x="35"/>
        <item x="247"/>
        <item x="3"/>
        <item x="205"/>
        <item x="64"/>
        <item x="117"/>
        <item x="206"/>
        <item x="2"/>
        <item x="15"/>
        <item x="46"/>
        <item x="63"/>
        <item x="240"/>
        <item x="253"/>
        <item x="198"/>
        <item x="95"/>
        <item x="60"/>
        <item x="220"/>
        <item x="50"/>
        <item x="21"/>
        <item x="167"/>
        <item x="225"/>
        <item x="166"/>
        <item x="208"/>
        <item x="89"/>
        <item x="13"/>
        <item x="1"/>
        <item x="178"/>
        <item x="10"/>
        <item x="78"/>
        <item x="213"/>
        <item x="200"/>
        <item x="142"/>
        <item x="261"/>
        <item x="197"/>
        <item x="116"/>
        <item x="171"/>
        <item x="233"/>
        <item x="17"/>
        <item x="161"/>
        <item x="124"/>
        <item x="62"/>
        <item x="51"/>
        <item x="70"/>
        <item x="264"/>
        <item x="145"/>
        <item x="139"/>
        <item x="109"/>
        <item x="96"/>
        <item x="160"/>
        <item x="19"/>
        <item x="9"/>
        <item x="67"/>
        <item x="218"/>
        <item x="97"/>
        <item x="90"/>
        <item x="211"/>
        <item t="default"/>
      </items>
    </pivotField>
    <pivotField axis="axisRow" showAll="0">
      <items count="13">
        <item x="7"/>
        <item x="9"/>
        <item x="4"/>
        <item x="6"/>
        <item x="0"/>
        <item x="10"/>
        <item x="3"/>
        <item x="11"/>
        <item x="5"/>
        <item x="2"/>
        <item x="1"/>
        <item x="8"/>
        <item t="default"/>
      </items>
    </pivotField>
    <pivotField showAll="0"/>
    <pivotField showAll="0"/>
    <pivotField dataField="1" showAll="0"/>
  </pivotFields>
  <rowFields count="1">
    <field x="7"/>
  </rowFields>
  <rowItems count="10">
    <i>
      <x/>
    </i>
    <i>
      <x v="2"/>
    </i>
    <i>
      <x v="3"/>
    </i>
    <i>
      <x v="4"/>
    </i>
    <i>
      <x v="5"/>
    </i>
    <i>
      <x v="7"/>
    </i>
    <i>
      <x v="8"/>
    </i>
    <i>
      <x v="9"/>
    </i>
    <i>
      <x v="11"/>
    </i>
    <i t="grand">
      <x/>
    </i>
  </rowItems>
  <colItems count="1">
    <i/>
  </colItems>
  <dataFields count="1">
    <dataField name="Sum of TotalSales" fld="10" baseField="3" baseItem="0"/>
  </dataFields>
  <chartFormats count="1">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A8A017-951C-4F6F-B229-BE301E0E9445}" name="sale-by-product"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C13:D15" firstHeaderRow="1" firstDataRow="1" firstDataCol="1"/>
  <pivotFields count="11">
    <pivotField showAll="0"/>
    <pivotField axis="axisRow" showAll="0">
      <items count="6">
        <item h="1" x="4"/>
        <item x="3"/>
        <item h="1" x="0"/>
        <item h="1" x="2"/>
        <item h="1" x="1"/>
        <item t="default"/>
      </items>
    </pivotField>
    <pivotField showAll="0">
      <items count="4">
        <item x="0"/>
        <item x="2"/>
        <item x="1"/>
        <item t="default"/>
      </items>
    </pivotField>
    <pivotField showAll="0"/>
    <pivotField showAll="0">
      <items count="7">
        <item h="1" x="1"/>
        <item x="5"/>
        <item h="1" x="4"/>
        <item h="1" x="2"/>
        <item h="1" x="3"/>
        <item h="1" x="0"/>
        <item t="default"/>
      </items>
    </pivotField>
    <pivotField showAll="0"/>
    <pivotField numFmtId="164" showAll="0">
      <items count="266">
        <item x="8"/>
        <item x="44"/>
        <item x="258"/>
        <item x="182"/>
        <item x="168"/>
        <item x="69"/>
        <item x="155"/>
        <item x="86"/>
        <item x="235"/>
        <item x="119"/>
        <item x="257"/>
        <item x="153"/>
        <item x="254"/>
        <item x="65"/>
        <item x="234"/>
        <item x="251"/>
        <item x="175"/>
        <item x="57"/>
        <item x="41"/>
        <item x="85"/>
        <item x="30"/>
        <item x="53"/>
        <item x="232"/>
        <item x="231"/>
        <item x="77"/>
        <item x="241"/>
        <item x="129"/>
        <item x="207"/>
        <item x="79"/>
        <item x="131"/>
        <item x="179"/>
        <item x="176"/>
        <item x="18"/>
        <item x="202"/>
        <item x="143"/>
        <item x="42"/>
        <item x="245"/>
        <item x="215"/>
        <item x="73"/>
        <item x="75"/>
        <item x="210"/>
        <item x="204"/>
        <item x="111"/>
        <item x="125"/>
        <item x="223"/>
        <item x="84"/>
        <item x="103"/>
        <item x="172"/>
        <item x="128"/>
        <item x="16"/>
        <item x="94"/>
        <item x="118"/>
        <item x="133"/>
        <item x="184"/>
        <item x="26"/>
        <item x="32"/>
        <item x="71"/>
        <item x="162"/>
        <item x="5"/>
        <item x="43"/>
        <item x="193"/>
        <item x="216"/>
        <item x="209"/>
        <item x="14"/>
        <item x="101"/>
        <item x="140"/>
        <item x="120"/>
        <item x="260"/>
        <item x="224"/>
        <item x="7"/>
        <item x="33"/>
        <item x="227"/>
        <item x="132"/>
        <item x="196"/>
        <item x="192"/>
        <item x="39"/>
        <item x="48"/>
        <item x="40"/>
        <item x="100"/>
        <item x="183"/>
        <item x="156"/>
        <item x="74"/>
        <item x="25"/>
        <item x="189"/>
        <item x="212"/>
        <item x="249"/>
        <item x="88"/>
        <item x="93"/>
        <item x="238"/>
        <item x="11"/>
        <item x="248"/>
        <item x="80"/>
        <item x="68"/>
        <item x="105"/>
        <item x="115"/>
        <item x="29"/>
        <item x="221"/>
        <item x="226"/>
        <item x="190"/>
        <item x="49"/>
        <item x="187"/>
        <item x="121"/>
        <item x="217"/>
        <item x="55"/>
        <item x="83"/>
        <item x="0"/>
        <item x="52"/>
        <item x="148"/>
        <item x="141"/>
        <item x="92"/>
        <item x="38"/>
        <item x="61"/>
        <item x="110"/>
        <item x="181"/>
        <item x="222"/>
        <item x="229"/>
        <item x="195"/>
        <item x="81"/>
        <item x="201"/>
        <item x="259"/>
        <item x="263"/>
        <item x="243"/>
        <item x="230"/>
        <item x="114"/>
        <item x="177"/>
        <item x="54"/>
        <item x="27"/>
        <item x="24"/>
        <item x="91"/>
        <item x="4"/>
        <item x="99"/>
        <item x="185"/>
        <item x="87"/>
        <item x="138"/>
        <item x="169"/>
        <item x="151"/>
        <item x="242"/>
        <item x="147"/>
        <item x="174"/>
        <item x="66"/>
        <item x="219"/>
        <item x="34"/>
        <item x="107"/>
        <item x="23"/>
        <item x="199"/>
        <item x="159"/>
        <item x="56"/>
        <item x="22"/>
        <item x="36"/>
        <item x="31"/>
        <item x="246"/>
        <item x="123"/>
        <item x="250"/>
        <item x="149"/>
        <item x="237"/>
        <item x="228"/>
        <item x="180"/>
        <item x="262"/>
        <item x="164"/>
        <item x="158"/>
        <item x="214"/>
        <item x="113"/>
        <item x="154"/>
        <item x="173"/>
        <item x="244"/>
        <item x="239"/>
        <item x="58"/>
        <item x="144"/>
        <item x="136"/>
        <item x="137"/>
        <item x="102"/>
        <item x="127"/>
        <item x="28"/>
        <item x="59"/>
        <item x="255"/>
        <item x="98"/>
        <item x="76"/>
        <item x="170"/>
        <item x="72"/>
        <item x="134"/>
        <item x="150"/>
        <item x="20"/>
        <item x="157"/>
        <item x="37"/>
        <item x="194"/>
        <item x="104"/>
        <item x="135"/>
        <item x="108"/>
        <item x="45"/>
        <item x="203"/>
        <item x="6"/>
        <item x="236"/>
        <item x="106"/>
        <item x="188"/>
        <item x="126"/>
        <item x="165"/>
        <item x="12"/>
        <item x="146"/>
        <item x="152"/>
        <item x="191"/>
        <item x="186"/>
        <item x="252"/>
        <item x="112"/>
        <item x="130"/>
        <item x="122"/>
        <item x="47"/>
        <item x="256"/>
        <item x="82"/>
        <item x="163"/>
        <item x="35"/>
        <item x="247"/>
        <item x="3"/>
        <item x="205"/>
        <item x="64"/>
        <item x="117"/>
        <item x="206"/>
        <item x="2"/>
        <item x="15"/>
        <item x="46"/>
        <item x="63"/>
        <item x="240"/>
        <item x="253"/>
        <item x="198"/>
        <item x="95"/>
        <item x="60"/>
        <item x="220"/>
        <item x="50"/>
        <item x="21"/>
        <item x="167"/>
        <item x="225"/>
        <item x="166"/>
        <item x="208"/>
        <item x="89"/>
        <item x="13"/>
        <item x="1"/>
        <item x="178"/>
        <item x="10"/>
        <item x="78"/>
        <item x="213"/>
        <item x="200"/>
        <item x="142"/>
        <item x="261"/>
        <item x="197"/>
        <item x="116"/>
        <item x="171"/>
        <item x="233"/>
        <item x="17"/>
        <item x="161"/>
        <item x="124"/>
        <item x="62"/>
        <item x="51"/>
        <item x="70"/>
        <item x="264"/>
        <item x="145"/>
        <item x="139"/>
        <item x="109"/>
        <item x="96"/>
        <item x="160"/>
        <item x="19"/>
        <item x="9"/>
        <item x="67"/>
        <item x="218"/>
        <item x="97"/>
        <item x="90"/>
        <item x="211"/>
        <item t="default"/>
      </items>
    </pivotField>
    <pivotField showAll="0"/>
    <pivotField showAll="0"/>
    <pivotField showAll="0"/>
    <pivotField dataField="1" showAll="0"/>
  </pivotFields>
  <rowFields count="1">
    <field x="1"/>
  </rowFields>
  <rowItems count="2">
    <i>
      <x v="1"/>
    </i>
    <i t="grand">
      <x/>
    </i>
  </rowItems>
  <colItems count="1">
    <i/>
  </colItems>
  <dataFields count="1">
    <dataField name="Sum of TotalSales" fld="10" baseField="0" baseItem="0"/>
  </dataFields>
  <chartFormats count="6">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 count="1" selected="0">
            <x v="0"/>
          </reference>
        </references>
      </pivotArea>
    </chartFormat>
    <chartFormat chart="5" format="14">
      <pivotArea type="data" outline="0" fieldPosition="0">
        <references count="2">
          <reference field="4294967294" count="1" selected="0">
            <x v="0"/>
          </reference>
          <reference field="1" count="1" selected="0">
            <x v="1"/>
          </reference>
        </references>
      </pivotArea>
    </chartFormat>
    <chartFormat chart="5" format="15">
      <pivotArea type="data" outline="0" fieldPosition="0">
        <references count="2">
          <reference field="4294967294" count="1" selected="0">
            <x v="0"/>
          </reference>
          <reference field="1" count="1" selected="0">
            <x v="2"/>
          </reference>
        </references>
      </pivotArea>
    </chartFormat>
    <chartFormat chart="5" format="16">
      <pivotArea type="data" outline="0" fieldPosition="0">
        <references count="2">
          <reference field="4294967294" count="1" selected="0">
            <x v="0"/>
          </reference>
          <reference field="1" count="1" selected="0">
            <x v="3"/>
          </reference>
        </references>
      </pivotArea>
    </chartFormat>
    <chartFormat chart="5" format="17">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FEE768-35B7-40DF-B8C9-A5AA0E7546F6}" name="PivotTable1"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2:J11" firstHeaderRow="1" firstDataRow="1" firstDataCol="1"/>
  <pivotFields count="11">
    <pivotField showAll="0"/>
    <pivotField showAll="0">
      <items count="6">
        <item h="1" x="4"/>
        <item x="3"/>
        <item h="1" x="0"/>
        <item h="1" x="2"/>
        <item h="1" x="1"/>
        <item t="default"/>
      </items>
    </pivotField>
    <pivotField showAll="0">
      <items count="4">
        <item x="0"/>
        <item x="2"/>
        <item x="1"/>
        <item t="default"/>
      </items>
    </pivotField>
    <pivotField axis="axisRow" showAll="0">
      <items count="17">
        <item x="8"/>
        <item x="4"/>
        <item x="1"/>
        <item x="15"/>
        <item x="13"/>
        <item x="12"/>
        <item x="7"/>
        <item x="5"/>
        <item x="9"/>
        <item x="0"/>
        <item x="11"/>
        <item x="3"/>
        <item x="10"/>
        <item x="2"/>
        <item x="6"/>
        <item x="14"/>
        <item t="default"/>
      </items>
    </pivotField>
    <pivotField showAll="0">
      <items count="7">
        <item h="1" x="1"/>
        <item x="5"/>
        <item h="1" x="4"/>
        <item h="1" x="2"/>
        <item h="1" x="3"/>
        <item h="1" x="0"/>
        <item t="default"/>
      </items>
    </pivotField>
    <pivotField showAll="0"/>
    <pivotField numFmtId="164" showAll="0">
      <items count="266">
        <item x="8"/>
        <item x="44"/>
        <item x="258"/>
        <item x="182"/>
        <item x="168"/>
        <item x="69"/>
        <item x="155"/>
        <item x="86"/>
        <item x="235"/>
        <item x="119"/>
        <item x="257"/>
        <item x="153"/>
        <item x="254"/>
        <item x="65"/>
        <item x="234"/>
        <item x="251"/>
        <item x="175"/>
        <item x="57"/>
        <item x="41"/>
        <item x="85"/>
        <item x="30"/>
        <item x="53"/>
        <item x="232"/>
        <item x="231"/>
        <item x="77"/>
        <item x="241"/>
        <item x="129"/>
        <item x="207"/>
        <item x="79"/>
        <item x="131"/>
        <item x="179"/>
        <item x="176"/>
        <item x="18"/>
        <item x="202"/>
        <item x="143"/>
        <item x="42"/>
        <item x="245"/>
        <item x="215"/>
        <item x="73"/>
        <item x="75"/>
        <item x="210"/>
        <item x="204"/>
        <item x="111"/>
        <item x="125"/>
        <item x="223"/>
        <item x="84"/>
        <item x="103"/>
        <item x="172"/>
        <item x="128"/>
        <item x="16"/>
        <item x="94"/>
        <item x="118"/>
        <item x="133"/>
        <item x="184"/>
        <item x="26"/>
        <item x="32"/>
        <item x="71"/>
        <item x="162"/>
        <item x="5"/>
        <item x="43"/>
        <item x="193"/>
        <item x="216"/>
        <item x="209"/>
        <item x="14"/>
        <item x="101"/>
        <item x="140"/>
        <item x="120"/>
        <item x="260"/>
        <item x="224"/>
        <item x="7"/>
        <item x="33"/>
        <item x="227"/>
        <item x="132"/>
        <item x="196"/>
        <item x="192"/>
        <item x="39"/>
        <item x="48"/>
        <item x="40"/>
        <item x="100"/>
        <item x="183"/>
        <item x="156"/>
        <item x="74"/>
        <item x="25"/>
        <item x="189"/>
        <item x="212"/>
        <item x="249"/>
        <item x="88"/>
        <item x="93"/>
        <item x="238"/>
        <item x="11"/>
        <item x="248"/>
        <item x="80"/>
        <item x="68"/>
        <item x="105"/>
        <item x="115"/>
        <item x="29"/>
        <item x="221"/>
        <item x="226"/>
        <item x="190"/>
        <item x="49"/>
        <item x="187"/>
        <item x="121"/>
        <item x="217"/>
        <item x="55"/>
        <item x="83"/>
        <item x="0"/>
        <item x="52"/>
        <item x="148"/>
        <item x="141"/>
        <item x="92"/>
        <item x="38"/>
        <item x="61"/>
        <item x="110"/>
        <item x="181"/>
        <item x="222"/>
        <item x="229"/>
        <item x="195"/>
        <item x="81"/>
        <item x="201"/>
        <item x="259"/>
        <item x="263"/>
        <item x="243"/>
        <item x="230"/>
        <item x="114"/>
        <item x="177"/>
        <item x="54"/>
        <item x="27"/>
        <item x="24"/>
        <item x="91"/>
        <item x="4"/>
        <item x="99"/>
        <item x="185"/>
        <item x="87"/>
        <item x="138"/>
        <item x="169"/>
        <item x="151"/>
        <item x="242"/>
        <item x="147"/>
        <item x="174"/>
        <item x="66"/>
        <item x="219"/>
        <item x="34"/>
        <item x="107"/>
        <item x="23"/>
        <item x="199"/>
        <item x="159"/>
        <item x="56"/>
        <item x="22"/>
        <item x="36"/>
        <item x="31"/>
        <item x="246"/>
        <item x="123"/>
        <item x="250"/>
        <item x="149"/>
        <item x="237"/>
        <item x="228"/>
        <item x="180"/>
        <item x="262"/>
        <item x="164"/>
        <item x="158"/>
        <item x="214"/>
        <item x="113"/>
        <item x="154"/>
        <item x="173"/>
        <item x="244"/>
        <item x="239"/>
        <item x="58"/>
        <item x="144"/>
        <item x="136"/>
        <item x="137"/>
        <item x="102"/>
        <item x="127"/>
        <item x="28"/>
        <item x="59"/>
        <item x="255"/>
        <item x="98"/>
        <item x="76"/>
        <item x="170"/>
        <item x="72"/>
        <item x="134"/>
        <item x="150"/>
        <item x="20"/>
        <item x="157"/>
        <item x="37"/>
        <item x="194"/>
        <item x="104"/>
        <item x="135"/>
        <item x="108"/>
        <item x="45"/>
        <item x="203"/>
        <item x="6"/>
        <item x="236"/>
        <item x="106"/>
        <item x="188"/>
        <item x="126"/>
        <item x="165"/>
        <item x="12"/>
        <item x="146"/>
        <item x="152"/>
        <item x="191"/>
        <item x="186"/>
        <item x="252"/>
        <item x="112"/>
        <item x="130"/>
        <item x="122"/>
        <item x="47"/>
        <item x="256"/>
        <item x="82"/>
        <item x="163"/>
        <item x="35"/>
        <item x="247"/>
        <item x="3"/>
        <item x="205"/>
        <item x="64"/>
        <item x="117"/>
        <item x="206"/>
        <item x="2"/>
        <item x="15"/>
        <item x="46"/>
        <item x="63"/>
        <item x="240"/>
        <item x="253"/>
        <item x="198"/>
        <item x="95"/>
        <item x="60"/>
        <item x="220"/>
        <item x="50"/>
        <item x="21"/>
        <item x="167"/>
        <item x="225"/>
        <item x="166"/>
        <item x="208"/>
        <item x="89"/>
        <item x="13"/>
        <item x="1"/>
        <item x="178"/>
        <item x="10"/>
        <item x="78"/>
        <item x="213"/>
        <item x="200"/>
        <item x="142"/>
        <item x="261"/>
        <item x="197"/>
        <item x="116"/>
        <item x="171"/>
        <item x="233"/>
        <item x="17"/>
        <item x="161"/>
        <item x="124"/>
        <item x="62"/>
        <item x="51"/>
        <item x="70"/>
        <item x="264"/>
        <item x="145"/>
        <item x="139"/>
        <item x="109"/>
        <item x="96"/>
        <item x="160"/>
        <item x="19"/>
        <item x="9"/>
        <item x="67"/>
        <item x="218"/>
        <item x="97"/>
        <item x="90"/>
        <item x="211"/>
        <item t="default"/>
      </items>
    </pivotField>
    <pivotField showAll="0"/>
    <pivotField showAll="0"/>
    <pivotField showAll="0"/>
    <pivotField dataField="1" showAll="0"/>
  </pivotFields>
  <rowFields count="1">
    <field x="3"/>
  </rowFields>
  <rowItems count="9">
    <i>
      <x v="2"/>
    </i>
    <i>
      <x v="3"/>
    </i>
    <i>
      <x v="5"/>
    </i>
    <i>
      <x v="9"/>
    </i>
    <i>
      <x v="10"/>
    </i>
    <i>
      <x v="11"/>
    </i>
    <i>
      <x v="13"/>
    </i>
    <i>
      <x v="15"/>
    </i>
    <i t="grand">
      <x/>
    </i>
  </rowItems>
  <colItems count="1">
    <i/>
  </colItems>
  <dataFields count="1">
    <dataField name="Sum of TotalSales" fld="10"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844A3E3-9EA1-4DE7-9ED1-5C6069688248}" name="product_saleby_person"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2:G4" firstHeaderRow="1" firstDataRow="1" firstDataCol="1"/>
  <pivotFields count="11">
    <pivotField showAll="0"/>
    <pivotField showAll="0">
      <items count="6">
        <item h="1" x="4"/>
        <item x="3"/>
        <item h="1" x="0"/>
        <item h="1" x="2"/>
        <item h="1" x="1"/>
        <item t="default"/>
      </items>
    </pivotField>
    <pivotField showAll="0">
      <items count="4">
        <item x="0"/>
        <item x="2"/>
        <item x="1"/>
        <item t="default"/>
      </items>
    </pivotField>
    <pivotField showAll="0"/>
    <pivotField axis="axisRow" showAll="0">
      <items count="7">
        <item h="1" x="1"/>
        <item x="5"/>
        <item h="1" x="4"/>
        <item h="1" x="2"/>
        <item h="1" x="3"/>
        <item h="1" x="0"/>
        <item t="default"/>
      </items>
    </pivotField>
    <pivotField showAll="0"/>
    <pivotField numFmtId="164" showAll="0">
      <items count="266">
        <item x="8"/>
        <item x="44"/>
        <item x="258"/>
        <item x="182"/>
        <item x="168"/>
        <item x="69"/>
        <item x="155"/>
        <item x="86"/>
        <item x="235"/>
        <item x="119"/>
        <item x="257"/>
        <item x="153"/>
        <item x="254"/>
        <item x="65"/>
        <item x="234"/>
        <item x="251"/>
        <item x="175"/>
        <item x="57"/>
        <item x="41"/>
        <item x="85"/>
        <item x="30"/>
        <item x="53"/>
        <item x="232"/>
        <item x="231"/>
        <item x="77"/>
        <item x="241"/>
        <item x="129"/>
        <item x="207"/>
        <item x="79"/>
        <item x="131"/>
        <item x="179"/>
        <item x="176"/>
        <item x="18"/>
        <item x="202"/>
        <item x="143"/>
        <item x="42"/>
        <item x="245"/>
        <item x="215"/>
        <item x="73"/>
        <item x="75"/>
        <item x="210"/>
        <item x="204"/>
        <item x="111"/>
        <item x="125"/>
        <item x="223"/>
        <item x="84"/>
        <item x="103"/>
        <item x="172"/>
        <item x="128"/>
        <item x="16"/>
        <item x="94"/>
        <item x="118"/>
        <item x="133"/>
        <item x="184"/>
        <item x="26"/>
        <item x="32"/>
        <item x="71"/>
        <item x="162"/>
        <item x="5"/>
        <item x="43"/>
        <item x="193"/>
        <item x="216"/>
        <item x="209"/>
        <item x="14"/>
        <item x="101"/>
        <item x="140"/>
        <item x="120"/>
        <item x="260"/>
        <item x="224"/>
        <item x="7"/>
        <item x="33"/>
        <item x="227"/>
        <item x="132"/>
        <item x="196"/>
        <item x="192"/>
        <item x="39"/>
        <item x="48"/>
        <item x="40"/>
        <item x="100"/>
        <item x="183"/>
        <item x="156"/>
        <item x="74"/>
        <item x="25"/>
        <item x="189"/>
        <item x="212"/>
        <item x="249"/>
        <item x="88"/>
        <item x="93"/>
        <item x="238"/>
        <item x="11"/>
        <item x="248"/>
        <item x="80"/>
        <item x="68"/>
        <item x="105"/>
        <item x="115"/>
        <item x="29"/>
        <item x="221"/>
        <item x="226"/>
        <item x="190"/>
        <item x="49"/>
        <item x="187"/>
        <item x="121"/>
        <item x="217"/>
        <item x="55"/>
        <item x="83"/>
        <item x="0"/>
        <item x="52"/>
        <item x="148"/>
        <item x="141"/>
        <item x="92"/>
        <item x="38"/>
        <item x="61"/>
        <item x="110"/>
        <item x="181"/>
        <item x="222"/>
        <item x="229"/>
        <item x="195"/>
        <item x="81"/>
        <item x="201"/>
        <item x="259"/>
        <item x="263"/>
        <item x="243"/>
        <item x="230"/>
        <item x="114"/>
        <item x="177"/>
        <item x="54"/>
        <item x="27"/>
        <item x="24"/>
        <item x="91"/>
        <item x="4"/>
        <item x="99"/>
        <item x="185"/>
        <item x="87"/>
        <item x="138"/>
        <item x="169"/>
        <item x="151"/>
        <item x="242"/>
        <item x="147"/>
        <item x="174"/>
        <item x="66"/>
        <item x="219"/>
        <item x="34"/>
        <item x="107"/>
        <item x="23"/>
        <item x="199"/>
        <item x="159"/>
        <item x="56"/>
        <item x="22"/>
        <item x="36"/>
        <item x="31"/>
        <item x="246"/>
        <item x="123"/>
        <item x="250"/>
        <item x="149"/>
        <item x="237"/>
        <item x="228"/>
        <item x="180"/>
        <item x="262"/>
        <item x="164"/>
        <item x="158"/>
        <item x="214"/>
        <item x="113"/>
        <item x="154"/>
        <item x="173"/>
        <item x="244"/>
        <item x="239"/>
        <item x="58"/>
        <item x="144"/>
        <item x="136"/>
        <item x="137"/>
        <item x="102"/>
        <item x="127"/>
        <item x="28"/>
        <item x="59"/>
        <item x="255"/>
        <item x="98"/>
        <item x="76"/>
        <item x="170"/>
        <item x="72"/>
        <item x="134"/>
        <item x="150"/>
        <item x="20"/>
        <item x="157"/>
        <item x="37"/>
        <item x="194"/>
        <item x="104"/>
        <item x="135"/>
        <item x="108"/>
        <item x="45"/>
        <item x="203"/>
        <item x="6"/>
        <item x="236"/>
        <item x="106"/>
        <item x="188"/>
        <item x="126"/>
        <item x="165"/>
        <item x="12"/>
        <item x="146"/>
        <item x="152"/>
        <item x="191"/>
        <item x="186"/>
        <item x="252"/>
        <item x="112"/>
        <item x="130"/>
        <item x="122"/>
        <item x="47"/>
        <item x="256"/>
        <item x="82"/>
        <item x="163"/>
        <item x="35"/>
        <item x="247"/>
        <item x="3"/>
        <item x="205"/>
        <item x="64"/>
        <item x="117"/>
        <item x="206"/>
        <item x="2"/>
        <item x="15"/>
        <item x="46"/>
        <item x="63"/>
        <item x="240"/>
        <item x="253"/>
        <item x="198"/>
        <item x="95"/>
        <item x="60"/>
        <item x="220"/>
        <item x="50"/>
        <item x="21"/>
        <item x="167"/>
        <item x="225"/>
        <item x="166"/>
        <item x="208"/>
        <item x="89"/>
        <item x="13"/>
        <item x="1"/>
        <item x="178"/>
        <item x="10"/>
        <item x="78"/>
        <item x="213"/>
        <item x="200"/>
        <item x="142"/>
        <item x="261"/>
        <item x="197"/>
        <item x="116"/>
        <item x="171"/>
        <item x="233"/>
        <item x="17"/>
        <item x="161"/>
        <item x="124"/>
        <item x="62"/>
        <item x="51"/>
        <item x="70"/>
        <item x="264"/>
        <item x="145"/>
        <item x="139"/>
        <item x="109"/>
        <item x="96"/>
        <item x="160"/>
        <item x="19"/>
        <item x="9"/>
        <item x="67"/>
        <item x="218"/>
        <item x="97"/>
        <item x="90"/>
        <item x="211"/>
        <item t="default"/>
      </items>
    </pivotField>
    <pivotField showAll="0"/>
    <pivotField showAll="0"/>
    <pivotField showAll="0"/>
    <pivotField dataField="1" showAll="0"/>
  </pivotFields>
  <rowFields count="1">
    <field x="4"/>
  </rowFields>
  <rowItems count="2">
    <i>
      <x v="1"/>
    </i>
    <i t="grand">
      <x/>
    </i>
  </rowItems>
  <colItems count="1">
    <i/>
  </colItems>
  <dataFields count="1">
    <dataField name="Sum of Total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75D9E64-B8BB-4A04-9FB3-0F8848FD9D63}" sourceName="Category">
  <pivotTables>
    <pivotTable tabId="2" name="product_saleby_person"/>
    <pivotTable tabId="2" name="PivotTable1"/>
    <pivotTable tabId="2" name="PivotTable7"/>
    <pivotTable tabId="2" name="sumofcustomer"/>
    <pivotTable tabId="2" name="total_sale"/>
    <pivotTable tabId="2" name="Units_sold"/>
    <pivotTable tabId="2" name="sale-by-product"/>
  </pivotTables>
  <data>
    <tabular pivotCacheId="922786163">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94A88D7A-388C-44D0-BB57-B9A3B3F97DE8}" sourceName="Salesperson">
  <pivotTables>
    <pivotTable tabId="2" name="product_saleby_person"/>
    <pivotTable tabId="2" name="PivotTable1"/>
    <pivotTable tabId="2" name="PivotTable7"/>
    <pivotTable tabId="2" name="sumofcustomer"/>
    <pivotTable tabId="2" name="total_sale"/>
    <pivotTable tabId="2" name="Units_sold"/>
    <pivotTable tabId="2" name="sale-by-product"/>
  </pivotTables>
  <data>
    <tabular pivotCacheId="922786163">
      <items count="6">
        <i x="1"/>
        <i x="5" s="1"/>
        <i x="4"/>
        <i x="2"/>
        <i x="3"/>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5845309-EBDA-4EBC-A2AE-D86C3C5B5E2C}" sourceName="Product">
  <pivotTables>
    <pivotTable tabId="2" name="product_saleby_person"/>
    <pivotTable tabId="2" name="PivotTable1"/>
    <pivotTable tabId="2" name="PivotTable7"/>
    <pivotTable tabId="2" name="sumofcustomer"/>
    <pivotTable tabId="2" name="total_sale"/>
    <pivotTable tabId="2" name="Units_sold"/>
    <pivotTable tabId="2" name="sale-by-product"/>
  </pivotTables>
  <data>
    <tabular pivotCacheId="922786163">
      <items count="5">
        <i x="4"/>
        <i x="3" s="1"/>
        <i x="0"/>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4BB0DE7-8C9D-4F59-99DE-46A6FF902F0B}" cache="Slicer_Category" caption="Category" style="SlicerStyleDark6" rowHeight="144000"/>
  <slicer name="Salesperson" xr10:uid="{28D16108-B603-4F77-A991-3232F4B525A6}" cache="Slicer_Salesperson" caption="Salesperson" columnCount="2" style="SlicerStyleDark6 2" rowHeight="144000"/>
  <slicer name="Product" xr10:uid="{49A60358-2155-45BC-9E1D-4FFA7019CA89}" cache="Slicer_Product" caption="Product" style="SlicerStyleDark6 2" rowHeight="1080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BDB8947B-BEB3-4013-BE9D-93EBA5E8B4D2}" sourceName="OrderDate">
  <pivotTables>
    <pivotTable tabId="2" name="PivotTable1"/>
    <pivotTable tabId="2" name="PivotTable7"/>
    <pivotTable tabId="2" name="product_saleby_person"/>
    <pivotTable tabId="2" name="sumofcustomer"/>
    <pivotTable tabId="2" name="total_sale"/>
    <pivotTable tabId="2" name="Units_sold"/>
    <pivotTable tabId="2" name="sale-by-product"/>
  </pivotTables>
  <state minimalRefreshVersion="6" lastRefreshVersion="6" pivotCacheId="922786163"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A9B093C4-EA9A-492A-9C72-280CBCAD6911}" cache="NativeTimeline_OrderDate" caption="OrderDate" level="2" selectionLevel="2" scrollPosition="2023-01-01T00:00:00" style="TimeSlicerStyleDark4"/>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0000"/>
  </sheetPr>
  <dimension ref="A1:O501"/>
  <sheetViews>
    <sheetView topLeftCell="A476" workbookViewId="0">
      <selection activeCell="O21" sqref="O21"/>
    </sheetView>
  </sheetViews>
  <sheetFormatPr defaultRowHeight="14.4" x14ac:dyDescent="0.3"/>
  <cols>
    <col min="1" max="1" width="9.5546875" bestFit="1" customWidth="1"/>
    <col min="2" max="2" width="11.109375" bestFit="1" customWidth="1"/>
    <col min="3" max="3" width="10.44140625" bestFit="1" customWidth="1"/>
    <col min="4" max="5" width="13.77734375" bestFit="1" customWidth="1"/>
    <col min="6" max="6" width="11.88671875" bestFit="1" customWidth="1"/>
    <col min="7" max="7" width="12.33203125" bestFit="1" customWidth="1"/>
    <col min="8" max="8" width="9.77734375" bestFit="1" customWidth="1"/>
    <col min="9" max="9" width="11.109375" bestFit="1" customWidth="1"/>
    <col min="10" max="10" width="10.88671875" bestFit="1" customWidth="1"/>
    <col min="11" max="11" width="11.77734375" bestFit="1" customWidth="1"/>
    <col min="13" max="13" width="3.44140625" bestFit="1" customWidth="1"/>
    <col min="15" max="15" width="11.88671875" bestFit="1" customWidth="1"/>
  </cols>
  <sheetData>
    <row r="1" spans="1:15" ht="18" x14ac:dyDescent="0.3">
      <c r="A1" s="3" t="s">
        <v>0</v>
      </c>
      <c r="B1" s="3" t="s">
        <v>1</v>
      </c>
      <c r="C1" s="3" t="s">
        <v>2</v>
      </c>
      <c r="D1" s="3" t="s">
        <v>3</v>
      </c>
      <c r="E1" s="3" t="s">
        <v>4</v>
      </c>
      <c r="F1" s="3" t="s">
        <v>5</v>
      </c>
      <c r="G1" s="3" t="s">
        <v>6</v>
      </c>
      <c r="H1" s="3" t="s">
        <v>7</v>
      </c>
      <c r="I1" s="3" t="s">
        <v>8</v>
      </c>
      <c r="J1" s="3" t="s">
        <v>9</v>
      </c>
      <c r="K1" s="3" t="s">
        <v>10</v>
      </c>
      <c r="O1" s="3" t="s">
        <v>5</v>
      </c>
    </row>
    <row r="2" spans="1:15" x14ac:dyDescent="0.3">
      <c r="A2" s="1">
        <v>1</v>
      </c>
      <c r="B2" s="1" t="s">
        <v>11</v>
      </c>
      <c r="C2" s="1" t="s">
        <v>16</v>
      </c>
      <c r="D2" s="1" t="s">
        <v>19</v>
      </c>
      <c r="E2" s="1" t="s">
        <v>35</v>
      </c>
      <c r="F2" s="1" t="s">
        <v>41</v>
      </c>
      <c r="G2" s="2">
        <v>45074</v>
      </c>
      <c r="H2" s="1" t="s">
        <v>61</v>
      </c>
      <c r="I2" s="1">
        <v>20</v>
      </c>
      <c r="J2" s="1">
        <v>5347</v>
      </c>
      <c r="K2" s="1">
        <v>106940</v>
      </c>
      <c r="O2" s="1" t="s">
        <v>41</v>
      </c>
    </row>
    <row r="3" spans="1:15" x14ac:dyDescent="0.3">
      <c r="A3" s="1">
        <v>2</v>
      </c>
      <c r="B3" s="1" t="s">
        <v>11</v>
      </c>
      <c r="C3" s="1" t="s">
        <v>17</v>
      </c>
      <c r="D3" s="1" t="s">
        <v>20</v>
      </c>
      <c r="E3" s="1" t="s">
        <v>36</v>
      </c>
      <c r="F3" s="1" t="s">
        <v>42</v>
      </c>
      <c r="G3" s="2">
        <v>45246</v>
      </c>
      <c r="H3" s="1" t="s">
        <v>62</v>
      </c>
      <c r="I3" s="1">
        <v>33</v>
      </c>
      <c r="J3" s="1">
        <v>5689</v>
      </c>
      <c r="K3" s="1">
        <v>187737</v>
      </c>
      <c r="O3" s="1" t="s">
        <v>42</v>
      </c>
    </row>
    <row r="4" spans="1:15" x14ac:dyDescent="0.3">
      <c r="A4" s="1">
        <v>3</v>
      </c>
      <c r="B4" s="1" t="s">
        <v>12</v>
      </c>
      <c r="C4" s="1" t="s">
        <v>16</v>
      </c>
      <c r="D4" s="1" t="s">
        <v>21</v>
      </c>
      <c r="E4" s="1" t="s">
        <v>37</v>
      </c>
      <c r="F4" s="1" t="s">
        <v>43</v>
      </c>
      <c r="G4" s="2">
        <v>45222</v>
      </c>
      <c r="H4" s="1" t="s">
        <v>63</v>
      </c>
      <c r="I4" s="1">
        <v>12</v>
      </c>
      <c r="J4" s="1">
        <v>26817</v>
      </c>
      <c r="K4" s="1">
        <v>321804</v>
      </c>
      <c r="O4" s="1" t="s">
        <v>43</v>
      </c>
    </row>
    <row r="5" spans="1:15" x14ac:dyDescent="0.3">
      <c r="A5" s="1">
        <v>4</v>
      </c>
      <c r="B5" s="1" t="s">
        <v>13</v>
      </c>
      <c r="C5" s="1" t="s">
        <v>17</v>
      </c>
      <c r="D5" s="1" t="s">
        <v>19</v>
      </c>
      <c r="E5" s="1" t="s">
        <v>38</v>
      </c>
      <c r="F5" s="1" t="s">
        <v>44</v>
      </c>
      <c r="G5" s="2">
        <v>45217</v>
      </c>
      <c r="H5" s="1" t="s">
        <v>63</v>
      </c>
      <c r="I5" s="1">
        <v>26</v>
      </c>
      <c r="J5" s="1">
        <v>17627</v>
      </c>
      <c r="K5" s="1">
        <v>458302</v>
      </c>
      <c r="O5" s="1" t="s">
        <v>44</v>
      </c>
    </row>
    <row r="6" spans="1:15" x14ac:dyDescent="0.3">
      <c r="A6" s="1">
        <v>5</v>
      </c>
      <c r="B6" s="1" t="s">
        <v>14</v>
      </c>
      <c r="C6" s="1" t="s">
        <v>18</v>
      </c>
      <c r="D6" s="1" t="s">
        <v>22</v>
      </c>
      <c r="E6" s="1" t="s">
        <v>36</v>
      </c>
      <c r="F6" s="1" t="s">
        <v>43</v>
      </c>
      <c r="G6" s="2">
        <v>45110</v>
      </c>
      <c r="H6" s="1" t="s">
        <v>64</v>
      </c>
      <c r="I6" s="1">
        <v>50</v>
      </c>
      <c r="J6" s="1">
        <v>14978</v>
      </c>
      <c r="K6" s="1">
        <v>748900</v>
      </c>
      <c r="O6" s="1" t="s">
        <v>45</v>
      </c>
    </row>
    <row r="7" spans="1:15" x14ac:dyDescent="0.3">
      <c r="A7" s="1">
        <v>6</v>
      </c>
      <c r="B7" s="1" t="s">
        <v>13</v>
      </c>
      <c r="C7" s="1" t="s">
        <v>17</v>
      </c>
      <c r="D7" s="1" t="s">
        <v>20</v>
      </c>
      <c r="E7" s="1" t="s">
        <v>39</v>
      </c>
      <c r="F7" s="1" t="s">
        <v>45</v>
      </c>
      <c r="G7" s="2">
        <v>45002</v>
      </c>
      <c r="H7" s="1" t="s">
        <v>65</v>
      </c>
      <c r="I7" s="1">
        <v>3</v>
      </c>
      <c r="J7" s="1">
        <v>47137</v>
      </c>
      <c r="K7" s="1">
        <v>141411</v>
      </c>
      <c r="O7" s="1" t="s">
        <v>46</v>
      </c>
    </row>
    <row r="8" spans="1:15" x14ac:dyDescent="0.3">
      <c r="A8" s="1">
        <v>7</v>
      </c>
      <c r="B8" s="1" t="s">
        <v>14</v>
      </c>
      <c r="C8" s="1" t="s">
        <v>16</v>
      </c>
      <c r="D8" s="1" t="s">
        <v>23</v>
      </c>
      <c r="E8" s="1" t="s">
        <v>36</v>
      </c>
      <c r="F8" s="1" t="s">
        <v>44</v>
      </c>
      <c r="G8" s="2">
        <v>45190</v>
      </c>
      <c r="H8" s="1" t="s">
        <v>66</v>
      </c>
      <c r="I8" s="1">
        <v>7</v>
      </c>
      <c r="J8" s="1">
        <v>37490</v>
      </c>
      <c r="K8" s="1">
        <v>262430</v>
      </c>
      <c r="O8" s="1" t="s">
        <v>47</v>
      </c>
    </row>
    <row r="9" spans="1:15" x14ac:dyDescent="0.3">
      <c r="A9" s="1">
        <v>8</v>
      </c>
      <c r="B9" s="1" t="s">
        <v>15</v>
      </c>
      <c r="C9" s="1" t="s">
        <v>18</v>
      </c>
      <c r="D9" s="1" t="s">
        <v>24</v>
      </c>
      <c r="E9" s="1" t="s">
        <v>35</v>
      </c>
      <c r="F9" s="1" t="s">
        <v>46</v>
      </c>
      <c r="G9" s="2">
        <v>45020</v>
      </c>
      <c r="H9" s="1" t="s">
        <v>67</v>
      </c>
      <c r="I9" s="1">
        <v>48</v>
      </c>
      <c r="J9" s="1">
        <v>42203</v>
      </c>
      <c r="K9" s="1">
        <v>2025744</v>
      </c>
      <c r="O9" s="1" t="s">
        <v>48</v>
      </c>
    </row>
    <row r="10" spans="1:15" x14ac:dyDescent="0.3">
      <c r="A10" s="1">
        <v>9</v>
      </c>
      <c r="B10" s="1" t="s">
        <v>14</v>
      </c>
      <c r="C10" s="1" t="s">
        <v>17</v>
      </c>
      <c r="D10" s="1" t="s">
        <v>25</v>
      </c>
      <c r="E10" s="1" t="s">
        <v>39</v>
      </c>
      <c r="F10" s="1" t="s">
        <v>47</v>
      </c>
      <c r="G10" s="2">
        <v>45002</v>
      </c>
      <c r="H10" s="1" t="s">
        <v>65</v>
      </c>
      <c r="I10" s="1">
        <v>32</v>
      </c>
      <c r="J10" s="1">
        <v>41861</v>
      </c>
      <c r="K10" s="1">
        <v>1339552</v>
      </c>
      <c r="O10" s="1" t="s">
        <v>49</v>
      </c>
    </row>
    <row r="11" spans="1:15" x14ac:dyDescent="0.3">
      <c r="A11" s="1">
        <v>10</v>
      </c>
      <c r="B11" s="1" t="s">
        <v>13</v>
      </c>
      <c r="C11" s="1" t="s">
        <v>17</v>
      </c>
      <c r="D11" s="1" t="s">
        <v>21</v>
      </c>
      <c r="E11" s="1" t="s">
        <v>36</v>
      </c>
      <c r="F11" s="1" t="s">
        <v>41</v>
      </c>
      <c r="G11" s="2">
        <v>44927</v>
      </c>
      <c r="H11" s="1" t="s">
        <v>68</v>
      </c>
      <c r="I11" s="1">
        <v>45</v>
      </c>
      <c r="J11" s="1">
        <v>24108</v>
      </c>
      <c r="K11" s="1">
        <v>1084860</v>
      </c>
      <c r="O11" s="1" t="s">
        <v>50</v>
      </c>
    </row>
    <row r="12" spans="1:15" x14ac:dyDescent="0.3">
      <c r="A12" s="1">
        <v>11</v>
      </c>
      <c r="B12" s="1" t="s">
        <v>15</v>
      </c>
      <c r="C12" s="1" t="s">
        <v>18</v>
      </c>
      <c r="D12" s="1" t="s">
        <v>26</v>
      </c>
      <c r="E12" s="1" t="s">
        <v>35</v>
      </c>
      <c r="F12" s="1" t="s">
        <v>48</v>
      </c>
      <c r="G12" s="2">
        <v>45279</v>
      </c>
      <c r="H12" s="1" t="s">
        <v>69</v>
      </c>
      <c r="I12" s="1">
        <v>48</v>
      </c>
      <c r="J12" s="1">
        <v>32714</v>
      </c>
      <c r="K12" s="1">
        <v>1570272</v>
      </c>
      <c r="O12" s="1" t="s">
        <v>51</v>
      </c>
    </row>
    <row r="13" spans="1:15" x14ac:dyDescent="0.3">
      <c r="A13" s="1">
        <v>12</v>
      </c>
      <c r="B13" s="1" t="s">
        <v>13</v>
      </c>
      <c r="C13" s="1" t="s">
        <v>17</v>
      </c>
      <c r="D13" s="1" t="s">
        <v>22</v>
      </c>
      <c r="E13" s="1" t="s">
        <v>37</v>
      </c>
      <c r="F13" s="1" t="s">
        <v>49</v>
      </c>
      <c r="G13" s="2">
        <v>45249</v>
      </c>
      <c r="H13" s="1" t="s">
        <v>62</v>
      </c>
      <c r="I13" s="1">
        <v>45</v>
      </c>
      <c r="J13" s="1">
        <v>25548</v>
      </c>
      <c r="K13" s="1">
        <v>1149660</v>
      </c>
      <c r="O13" s="1" t="s">
        <v>52</v>
      </c>
    </row>
    <row r="14" spans="1:15" x14ac:dyDescent="0.3">
      <c r="A14" s="1">
        <v>13</v>
      </c>
      <c r="B14" s="1" t="s">
        <v>15</v>
      </c>
      <c r="C14" s="1" t="s">
        <v>17</v>
      </c>
      <c r="D14" s="1" t="s">
        <v>27</v>
      </c>
      <c r="E14" s="1" t="s">
        <v>37</v>
      </c>
      <c r="F14" s="1" t="s">
        <v>50</v>
      </c>
      <c r="G14" s="2">
        <v>45047</v>
      </c>
      <c r="H14" s="1" t="s">
        <v>61</v>
      </c>
      <c r="I14" s="1">
        <v>32</v>
      </c>
      <c r="J14" s="1">
        <v>48810</v>
      </c>
      <c r="K14" s="1">
        <v>12457</v>
      </c>
      <c r="O14" s="1" t="s">
        <v>53</v>
      </c>
    </row>
    <row r="15" spans="1:15" x14ac:dyDescent="0.3">
      <c r="A15" s="1">
        <v>14</v>
      </c>
      <c r="B15" s="1" t="s">
        <v>15</v>
      </c>
      <c r="C15" s="1" t="s">
        <v>16</v>
      </c>
      <c r="D15" s="1" t="s">
        <v>19</v>
      </c>
      <c r="E15" s="1" t="s">
        <v>39</v>
      </c>
      <c r="F15" s="1" t="s">
        <v>51</v>
      </c>
      <c r="G15" s="2">
        <v>45197</v>
      </c>
      <c r="H15" s="1" t="s">
        <v>66</v>
      </c>
      <c r="I15" s="1">
        <v>33</v>
      </c>
      <c r="J15" s="1">
        <v>29460</v>
      </c>
      <c r="K15" s="1">
        <v>972180</v>
      </c>
      <c r="O15" s="1" t="s">
        <v>54</v>
      </c>
    </row>
    <row r="16" spans="1:15" x14ac:dyDescent="0.3">
      <c r="A16" s="1">
        <v>15</v>
      </c>
      <c r="B16" s="1" t="s">
        <v>14</v>
      </c>
      <c r="C16" s="1" t="s">
        <v>16</v>
      </c>
      <c r="D16" s="1" t="s">
        <v>27</v>
      </c>
      <c r="E16" s="1" t="s">
        <v>38</v>
      </c>
      <c r="F16" s="1" t="s">
        <v>52</v>
      </c>
      <c r="G16" s="2">
        <v>45245</v>
      </c>
      <c r="H16" s="1" t="s">
        <v>62</v>
      </c>
      <c r="I16" s="1">
        <v>3</v>
      </c>
      <c r="J16" s="1">
        <v>6121</v>
      </c>
      <c r="K16" s="1">
        <v>18363</v>
      </c>
      <c r="O16" s="1" t="s">
        <v>55</v>
      </c>
    </row>
    <row r="17" spans="1:15" x14ac:dyDescent="0.3">
      <c r="A17" s="1">
        <v>16</v>
      </c>
      <c r="B17" s="1" t="s">
        <v>13</v>
      </c>
      <c r="C17" s="1" t="s">
        <v>18</v>
      </c>
      <c r="D17" s="1" t="s">
        <v>28</v>
      </c>
      <c r="E17" s="1" t="s">
        <v>36</v>
      </c>
      <c r="F17" s="1" t="s">
        <v>53</v>
      </c>
      <c r="G17" s="2">
        <v>45009</v>
      </c>
      <c r="H17" s="1" t="s">
        <v>65</v>
      </c>
      <c r="I17" s="1">
        <v>47</v>
      </c>
      <c r="J17" s="1">
        <v>19403</v>
      </c>
      <c r="K17" s="1">
        <v>911941</v>
      </c>
      <c r="O17" s="1" t="s">
        <v>56</v>
      </c>
    </row>
    <row r="18" spans="1:15" x14ac:dyDescent="0.3">
      <c r="A18" s="1">
        <v>17</v>
      </c>
      <c r="B18" s="1" t="s">
        <v>11</v>
      </c>
      <c r="C18" s="1" t="s">
        <v>18</v>
      </c>
      <c r="D18" s="1" t="s">
        <v>19</v>
      </c>
      <c r="E18" s="1" t="s">
        <v>39</v>
      </c>
      <c r="F18" s="1" t="s">
        <v>54</v>
      </c>
      <c r="G18" s="2">
        <v>45223</v>
      </c>
      <c r="H18" s="1" t="s">
        <v>63</v>
      </c>
      <c r="I18" s="1">
        <v>7</v>
      </c>
      <c r="J18" s="1">
        <v>26818</v>
      </c>
      <c r="K18" s="1">
        <v>187726</v>
      </c>
      <c r="O18" s="1" t="s">
        <v>57</v>
      </c>
    </row>
    <row r="19" spans="1:15" x14ac:dyDescent="0.3">
      <c r="A19" s="1">
        <v>18</v>
      </c>
      <c r="B19" s="1" t="s">
        <v>11</v>
      </c>
      <c r="C19" s="1" t="s">
        <v>16</v>
      </c>
      <c r="D19" s="1" t="s">
        <v>22</v>
      </c>
      <c r="E19" s="1" t="s">
        <v>38</v>
      </c>
      <c r="F19" s="1" t="s">
        <v>55</v>
      </c>
      <c r="G19" s="2">
        <v>45246</v>
      </c>
      <c r="H19" s="1" t="s">
        <v>62</v>
      </c>
      <c r="I19" s="1">
        <v>32</v>
      </c>
      <c r="J19" s="1">
        <v>6404</v>
      </c>
      <c r="K19" s="1">
        <v>204928</v>
      </c>
      <c r="O19" s="1" t="s">
        <v>58</v>
      </c>
    </row>
    <row r="20" spans="1:15" x14ac:dyDescent="0.3">
      <c r="A20" s="1">
        <v>19</v>
      </c>
      <c r="B20" s="1" t="s">
        <v>14</v>
      </c>
      <c r="C20" s="1" t="s">
        <v>18</v>
      </c>
      <c r="D20" s="1" t="s">
        <v>29</v>
      </c>
      <c r="E20" s="1" t="s">
        <v>35</v>
      </c>
      <c r="F20" s="1" t="s">
        <v>45</v>
      </c>
      <c r="G20" s="2">
        <v>45245</v>
      </c>
      <c r="H20" s="1" t="s">
        <v>62</v>
      </c>
      <c r="I20" s="1">
        <v>15</v>
      </c>
      <c r="J20" s="1">
        <v>39088</v>
      </c>
      <c r="K20" s="1">
        <v>586320</v>
      </c>
      <c r="O20" s="1" t="s">
        <v>59</v>
      </c>
    </row>
    <row r="21" spans="1:15" x14ac:dyDescent="0.3">
      <c r="A21" s="1">
        <v>20</v>
      </c>
      <c r="B21" s="1" t="s">
        <v>14</v>
      </c>
      <c r="C21" s="1" t="s">
        <v>16</v>
      </c>
      <c r="D21" s="1" t="s">
        <v>29</v>
      </c>
      <c r="E21" s="1" t="s">
        <v>39</v>
      </c>
      <c r="F21" s="1" t="s">
        <v>45</v>
      </c>
      <c r="G21" s="2">
        <v>44993</v>
      </c>
      <c r="H21" s="1" t="s">
        <v>65</v>
      </c>
      <c r="I21" s="1">
        <v>9</v>
      </c>
      <c r="J21" s="1">
        <v>10637</v>
      </c>
      <c r="K21" s="1">
        <v>95733</v>
      </c>
      <c r="O21" s="1" t="s">
        <v>60</v>
      </c>
    </row>
    <row r="22" spans="1:15" x14ac:dyDescent="0.3">
      <c r="A22" s="1">
        <v>21</v>
      </c>
      <c r="B22" s="1" t="s">
        <v>12</v>
      </c>
      <c r="C22" s="1" t="s">
        <v>17</v>
      </c>
      <c r="D22" s="1" t="s">
        <v>28</v>
      </c>
      <c r="E22" s="1" t="s">
        <v>38</v>
      </c>
      <c r="F22" s="1" t="s">
        <v>48</v>
      </c>
      <c r="G22" s="2">
        <v>45264</v>
      </c>
      <c r="H22" s="1" t="s">
        <v>69</v>
      </c>
      <c r="I22" s="1">
        <v>1</v>
      </c>
      <c r="J22" s="1">
        <v>15818</v>
      </c>
      <c r="K22" s="1">
        <v>15818</v>
      </c>
    </row>
    <row r="23" spans="1:15" x14ac:dyDescent="0.3">
      <c r="A23" s="1">
        <v>22</v>
      </c>
      <c r="B23" s="1" t="s">
        <v>13</v>
      </c>
      <c r="C23" s="1" t="s">
        <v>18</v>
      </c>
      <c r="D23" s="1" t="s">
        <v>20</v>
      </c>
      <c r="E23" s="1" t="s">
        <v>37</v>
      </c>
      <c r="F23" s="1" t="s">
        <v>56</v>
      </c>
      <c r="G23" s="2">
        <v>44971</v>
      </c>
      <c r="H23" s="1" t="s">
        <v>70</v>
      </c>
      <c r="I23" s="1">
        <v>8</v>
      </c>
      <c r="J23" s="1">
        <v>2550</v>
      </c>
      <c r="K23" s="1">
        <v>20400</v>
      </c>
    </row>
    <row r="24" spans="1:15" x14ac:dyDescent="0.3">
      <c r="A24" s="1">
        <v>23</v>
      </c>
      <c r="B24" s="1" t="s">
        <v>15</v>
      </c>
      <c r="C24" s="1" t="s">
        <v>16</v>
      </c>
      <c r="D24" s="1" t="s">
        <v>25</v>
      </c>
      <c r="E24" s="1" t="s">
        <v>36</v>
      </c>
      <c r="F24" s="1" t="s">
        <v>48</v>
      </c>
      <c r="G24" s="2">
        <v>45278</v>
      </c>
      <c r="H24" s="1" t="s">
        <v>69</v>
      </c>
      <c r="I24" s="1">
        <v>33</v>
      </c>
      <c r="J24" s="1">
        <v>5769</v>
      </c>
      <c r="K24" s="1">
        <v>190377</v>
      </c>
    </row>
    <row r="25" spans="1:15" x14ac:dyDescent="0.3">
      <c r="A25" s="1">
        <v>24</v>
      </c>
      <c r="B25" s="1" t="s">
        <v>11</v>
      </c>
      <c r="C25" s="1" t="s">
        <v>16</v>
      </c>
      <c r="D25" s="1" t="s">
        <v>22</v>
      </c>
      <c r="E25" s="1" t="s">
        <v>35</v>
      </c>
      <c r="F25" s="1" t="s">
        <v>50</v>
      </c>
      <c r="G25" s="2">
        <v>45245</v>
      </c>
      <c r="H25" s="1" t="s">
        <v>62</v>
      </c>
      <c r="I25" s="1">
        <v>34</v>
      </c>
      <c r="J25" s="1">
        <v>48184</v>
      </c>
      <c r="K25" s="1">
        <v>1638256</v>
      </c>
    </row>
    <row r="26" spans="1:15" x14ac:dyDescent="0.3">
      <c r="A26" s="1">
        <v>25</v>
      </c>
      <c r="B26" s="1" t="s">
        <v>14</v>
      </c>
      <c r="C26" s="1" t="s">
        <v>18</v>
      </c>
      <c r="D26" s="1" t="s">
        <v>23</v>
      </c>
      <c r="E26" s="1" t="s">
        <v>36</v>
      </c>
      <c r="F26" s="1" t="s">
        <v>51</v>
      </c>
      <c r="G26" s="2">
        <v>45180</v>
      </c>
      <c r="H26" s="1" t="s">
        <v>66</v>
      </c>
      <c r="I26" s="1">
        <v>34</v>
      </c>
      <c r="J26" s="1">
        <v>23616</v>
      </c>
      <c r="K26" s="1">
        <v>802944</v>
      </c>
    </row>
    <row r="27" spans="1:15" x14ac:dyDescent="0.3">
      <c r="A27" s="1">
        <v>26</v>
      </c>
      <c r="B27" s="1" t="s">
        <v>14</v>
      </c>
      <c r="C27" s="1" t="s">
        <v>17</v>
      </c>
      <c r="D27" s="1" t="s">
        <v>30</v>
      </c>
      <c r="E27" s="1" t="s">
        <v>35</v>
      </c>
      <c r="F27" s="1" t="s">
        <v>42</v>
      </c>
      <c r="G27" s="2">
        <v>45238</v>
      </c>
      <c r="H27" s="1" t="s">
        <v>62</v>
      </c>
      <c r="I27" s="1">
        <v>42</v>
      </c>
      <c r="J27" s="1">
        <v>36695</v>
      </c>
      <c r="K27" s="1">
        <v>1541190</v>
      </c>
    </row>
    <row r="28" spans="1:15" x14ac:dyDescent="0.3">
      <c r="A28" s="1">
        <v>27</v>
      </c>
      <c r="B28" s="1" t="s">
        <v>14</v>
      </c>
      <c r="C28" s="1" t="s">
        <v>16</v>
      </c>
      <c r="D28" s="1" t="s">
        <v>27</v>
      </c>
      <c r="E28" s="1" t="s">
        <v>39</v>
      </c>
      <c r="F28" s="1" t="s">
        <v>42</v>
      </c>
      <c r="G28" s="2">
        <v>45131</v>
      </c>
      <c r="H28" s="1" t="s">
        <v>64</v>
      </c>
      <c r="I28" s="1">
        <v>43</v>
      </c>
      <c r="J28" s="1">
        <v>5475</v>
      </c>
      <c r="K28" s="1">
        <v>235425</v>
      </c>
    </row>
    <row r="29" spans="1:15" x14ac:dyDescent="0.3">
      <c r="A29" s="1">
        <v>28</v>
      </c>
      <c r="B29" s="1" t="s">
        <v>11</v>
      </c>
      <c r="C29" s="1" t="s">
        <v>17</v>
      </c>
      <c r="D29" s="1" t="s">
        <v>31</v>
      </c>
      <c r="E29" s="1" t="s">
        <v>40</v>
      </c>
      <c r="F29" s="1" t="s">
        <v>57</v>
      </c>
      <c r="G29" s="2">
        <v>45127</v>
      </c>
      <c r="H29" s="1" t="s">
        <v>64</v>
      </c>
      <c r="I29" s="1">
        <v>21</v>
      </c>
      <c r="J29" s="1">
        <v>45844</v>
      </c>
      <c r="K29" s="1">
        <v>962724</v>
      </c>
    </row>
    <row r="30" spans="1:15" x14ac:dyDescent="0.3">
      <c r="A30" s="1">
        <v>29</v>
      </c>
      <c r="B30" s="1" t="s">
        <v>12</v>
      </c>
      <c r="C30" s="1" t="s">
        <v>16</v>
      </c>
      <c r="D30" s="1" t="s">
        <v>32</v>
      </c>
      <c r="E30" s="1" t="s">
        <v>39</v>
      </c>
      <c r="F30" s="1" t="s">
        <v>57</v>
      </c>
      <c r="G30" s="2">
        <v>45108</v>
      </c>
      <c r="H30" s="1" t="s">
        <v>64</v>
      </c>
      <c r="I30" s="1">
        <v>38</v>
      </c>
      <c r="J30" s="1">
        <v>16899</v>
      </c>
      <c r="K30" s="1">
        <v>642162</v>
      </c>
    </row>
    <row r="31" spans="1:15" x14ac:dyDescent="0.3">
      <c r="A31" s="1">
        <v>30</v>
      </c>
      <c r="B31" s="1" t="s">
        <v>12</v>
      </c>
      <c r="C31" s="1" t="s">
        <v>18</v>
      </c>
      <c r="D31" s="1" t="s">
        <v>19</v>
      </c>
      <c r="E31" s="1" t="s">
        <v>38</v>
      </c>
      <c r="F31" s="1" t="s">
        <v>53</v>
      </c>
      <c r="G31" s="2">
        <v>45037</v>
      </c>
      <c r="H31" s="1" t="s">
        <v>67</v>
      </c>
      <c r="I31" s="1">
        <v>50</v>
      </c>
      <c r="J31" s="1">
        <v>45480</v>
      </c>
      <c r="K31" s="1">
        <v>2274000</v>
      </c>
    </row>
    <row r="32" spans="1:15" x14ac:dyDescent="0.3">
      <c r="A32" s="1">
        <v>31</v>
      </c>
      <c r="B32" s="1" t="s">
        <v>15</v>
      </c>
      <c r="C32" s="1" t="s">
        <v>16</v>
      </c>
      <c r="D32" s="1" t="s">
        <v>24</v>
      </c>
      <c r="E32" s="1" t="s">
        <v>39</v>
      </c>
      <c r="F32" s="1" t="s">
        <v>57</v>
      </c>
      <c r="G32" s="2">
        <v>44998</v>
      </c>
      <c r="H32" s="1" t="s">
        <v>65</v>
      </c>
      <c r="I32" s="1">
        <v>22</v>
      </c>
      <c r="J32" s="1">
        <v>15521</v>
      </c>
      <c r="K32" s="1">
        <v>341462</v>
      </c>
    </row>
    <row r="33" spans="1:11" x14ac:dyDescent="0.3">
      <c r="A33" s="1">
        <v>32</v>
      </c>
      <c r="B33" s="1" t="s">
        <v>14</v>
      </c>
      <c r="C33" s="1" t="s">
        <v>16</v>
      </c>
      <c r="D33" s="1" t="s">
        <v>20</v>
      </c>
      <c r="E33" s="1" t="s">
        <v>40</v>
      </c>
      <c r="F33" s="1" t="s">
        <v>58</v>
      </c>
      <c r="G33" s="2">
        <v>45103</v>
      </c>
      <c r="H33" s="1" t="s">
        <v>71</v>
      </c>
      <c r="I33" s="1">
        <v>2</v>
      </c>
      <c r="J33" s="1">
        <v>44586</v>
      </c>
      <c r="K33" s="1">
        <v>89172</v>
      </c>
    </row>
    <row r="34" spans="1:11" x14ac:dyDescent="0.3">
      <c r="A34" s="1">
        <v>33</v>
      </c>
      <c r="B34" s="1" t="s">
        <v>12</v>
      </c>
      <c r="C34" s="1" t="s">
        <v>18</v>
      </c>
      <c r="D34" s="1" t="s">
        <v>26</v>
      </c>
      <c r="E34" s="1" t="s">
        <v>40</v>
      </c>
      <c r="F34" s="1" t="s">
        <v>43</v>
      </c>
      <c r="G34" s="2">
        <v>45164</v>
      </c>
      <c r="H34" s="1" t="s">
        <v>72</v>
      </c>
      <c r="I34" s="1">
        <v>4</v>
      </c>
      <c r="J34" s="1">
        <v>48982</v>
      </c>
      <c r="K34" s="1">
        <v>195928</v>
      </c>
    </row>
    <row r="35" spans="1:11" x14ac:dyDescent="0.3">
      <c r="A35" s="1">
        <v>34</v>
      </c>
      <c r="B35" s="1" t="s">
        <v>11</v>
      </c>
      <c r="C35" s="1" t="s">
        <v>17</v>
      </c>
      <c r="D35" s="1" t="s">
        <v>22</v>
      </c>
      <c r="E35" s="1" t="s">
        <v>35</v>
      </c>
      <c r="F35" s="1" t="s">
        <v>42</v>
      </c>
      <c r="G35" s="2">
        <v>45056</v>
      </c>
      <c r="H35" s="1" t="s">
        <v>61</v>
      </c>
      <c r="I35" s="1">
        <v>19</v>
      </c>
      <c r="J35" s="1">
        <v>25623</v>
      </c>
      <c r="K35" s="1">
        <v>486837</v>
      </c>
    </row>
    <row r="36" spans="1:11" x14ac:dyDescent="0.3">
      <c r="A36" s="1">
        <v>35</v>
      </c>
      <c r="B36" s="1" t="s">
        <v>13</v>
      </c>
      <c r="C36" s="1" t="s">
        <v>17</v>
      </c>
      <c r="D36" s="1" t="s">
        <v>25</v>
      </c>
      <c r="E36" s="1" t="s">
        <v>40</v>
      </c>
      <c r="F36" s="1" t="s">
        <v>55</v>
      </c>
      <c r="G36" s="2">
        <v>44953</v>
      </c>
      <c r="H36" s="1" t="s">
        <v>68</v>
      </c>
      <c r="I36" s="1">
        <v>14</v>
      </c>
      <c r="J36" s="1">
        <v>21400</v>
      </c>
      <c r="K36" s="1">
        <v>299600</v>
      </c>
    </row>
    <row r="37" spans="1:11" x14ac:dyDescent="0.3">
      <c r="A37" s="1">
        <v>36</v>
      </c>
      <c r="B37" s="1" t="s">
        <v>12</v>
      </c>
      <c r="C37" s="1" t="s">
        <v>17</v>
      </c>
      <c r="D37" s="1" t="s">
        <v>19</v>
      </c>
      <c r="E37" s="1" t="s">
        <v>38</v>
      </c>
      <c r="F37" s="1" t="s">
        <v>53</v>
      </c>
      <c r="G37" s="2">
        <v>45133</v>
      </c>
      <c r="H37" s="1" t="s">
        <v>64</v>
      </c>
      <c r="I37" s="1">
        <v>32</v>
      </c>
      <c r="J37" s="1">
        <v>12900</v>
      </c>
      <c r="K37" s="1">
        <v>412800</v>
      </c>
    </row>
    <row r="38" spans="1:11" x14ac:dyDescent="0.3">
      <c r="A38" s="1">
        <v>37</v>
      </c>
      <c r="B38" s="1" t="s">
        <v>14</v>
      </c>
      <c r="C38" s="1" t="s">
        <v>16</v>
      </c>
      <c r="D38" s="1" t="s">
        <v>32</v>
      </c>
      <c r="E38" s="1" t="s">
        <v>36</v>
      </c>
      <c r="F38" s="1" t="s">
        <v>41</v>
      </c>
      <c r="G38" s="2">
        <v>44999</v>
      </c>
      <c r="H38" s="1" t="s">
        <v>65</v>
      </c>
      <c r="I38" s="1">
        <v>49</v>
      </c>
      <c r="J38" s="1">
        <v>18998</v>
      </c>
      <c r="K38" s="1">
        <v>930902</v>
      </c>
    </row>
    <row r="39" spans="1:11" x14ac:dyDescent="0.3">
      <c r="A39" s="1">
        <v>38</v>
      </c>
      <c r="B39" s="1" t="s">
        <v>11</v>
      </c>
      <c r="C39" s="1" t="s">
        <v>17</v>
      </c>
      <c r="D39" s="1" t="s">
        <v>30</v>
      </c>
      <c r="E39" s="1" t="s">
        <v>39</v>
      </c>
      <c r="F39" s="1" t="s">
        <v>54</v>
      </c>
      <c r="G39" s="2">
        <v>45023</v>
      </c>
      <c r="H39" s="1" t="s">
        <v>67</v>
      </c>
      <c r="I39" s="1">
        <v>48</v>
      </c>
      <c r="J39" s="1">
        <v>37348</v>
      </c>
      <c r="K39" s="1">
        <v>1792704</v>
      </c>
    </row>
    <row r="40" spans="1:11" x14ac:dyDescent="0.3">
      <c r="A40" s="1">
        <v>39</v>
      </c>
      <c r="B40" s="1" t="s">
        <v>13</v>
      </c>
      <c r="C40" s="1" t="s">
        <v>16</v>
      </c>
      <c r="D40" s="1" t="s">
        <v>19</v>
      </c>
      <c r="E40" s="1" t="s">
        <v>35</v>
      </c>
      <c r="F40" s="1" t="s">
        <v>41</v>
      </c>
      <c r="G40" s="2">
        <v>45125</v>
      </c>
      <c r="H40" s="1" t="s">
        <v>64</v>
      </c>
      <c r="I40" s="1">
        <v>13</v>
      </c>
      <c r="J40" s="1">
        <v>19070</v>
      </c>
      <c r="K40" s="1">
        <v>247910</v>
      </c>
    </row>
    <row r="41" spans="1:11" x14ac:dyDescent="0.3">
      <c r="A41" s="1">
        <v>40</v>
      </c>
      <c r="B41" s="1" t="s">
        <v>12</v>
      </c>
      <c r="C41" s="1" t="s">
        <v>17</v>
      </c>
      <c r="D41" s="1" t="s">
        <v>24</v>
      </c>
      <c r="E41" s="1" t="s">
        <v>40</v>
      </c>
      <c r="F41" s="1" t="s">
        <v>41</v>
      </c>
      <c r="G41" s="2">
        <v>45215</v>
      </c>
      <c r="H41" s="1" t="s">
        <v>63</v>
      </c>
      <c r="I41" s="1">
        <v>13</v>
      </c>
      <c r="J41" s="1">
        <v>3054</v>
      </c>
      <c r="K41" s="1">
        <v>39702</v>
      </c>
    </row>
    <row r="42" spans="1:11" x14ac:dyDescent="0.3">
      <c r="A42" s="1">
        <v>41</v>
      </c>
      <c r="B42" s="1" t="s">
        <v>13</v>
      </c>
      <c r="C42" s="1" t="s">
        <v>17</v>
      </c>
      <c r="D42" s="1" t="s">
        <v>26</v>
      </c>
      <c r="E42" s="1" t="s">
        <v>37</v>
      </c>
      <c r="F42" s="1" t="s">
        <v>47</v>
      </c>
      <c r="G42" s="2">
        <v>45132</v>
      </c>
      <c r="H42" s="1" t="s">
        <v>64</v>
      </c>
      <c r="I42" s="1">
        <v>18</v>
      </c>
      <c r="J42" s="1">
        <v>43762</v>
      </c>
      <c r="K42" s="1">
        <v>787716</v>
      </c>
    </row>
    <row r="43" spans="1:11" x14ac:dyDescent="0.3">
      <c r="A43" s="1">
        <v>42</v>
      </c>
      <c r="B43" s="1" t="s">
        <v>12</v>
      </c>
      <c r="C43" s="1" t="s">
        <v>18</v>
      </c>
      <c r="D43" s="1" t="s">
        <v>24</v>
      </c>
      <c r="E43" s="1" t="s">
        <v>40</v>
      </c>
      <c r="F43" s="1" t="s">
        <v>53</v>
      </c>
      <c r="G43" s="2">
        <v>45183</v>
      </c>
      <c r="H43" s="1" t="s">
        <v>66</v>
      </c>
      <c r="I43" s="1">
        <v>45</v>
      </c>
      <c r="J43" s="1">
        <v>3988</v>
      </c>
      <c r="K43" s="1">
        <v>179460</v>
      </c>
    </row>
    <row r="44" spans="1:11" x14ac:dyDescent="0.3">
      <c r="A44" s="1">
        <v>43</v>
      </c>
      <c r="B44" s="1" t="s">
        <v>11</v>
      </c>
      <c r="C44" s="1" t="s">
        <v>16</v>
      </c>
      <c r="D44" s="1" t="s">
        <v>24</v>
      </c>
      <c r="E44" s="1" t="s">
        <v>40</v>
      </c>
      <c r="F44" s="1" t="s">
        <v>50</v>
      </c>
      <c r="G44" s="2">
        <v>45084</v>
      </c>
      <c r="H44" s="1" t="s">
        <v>71</v>
      </c>
      <c r="I44" s="1">
        <v>7</v>
      </c>
      <c r="J44" s="1">
        <v>28167</v>
      </c>
      <c r="K44" s="1">
        <v>197169</v>
      </c>
    </row>
    <row r="45" spans="1:11" x14ac:dyDescent="0.3">
      <c r="A45" s="1">
        <v>44</v>
      </c>
      <c r="B45" s="1" t="s">
        <v>12</v>
      </c>
      <c r="C45" s="1" t="s">
        <v>16</v>
      </c>
      <c r="D45" s="1" t="s">
        <v>30</v>
      </c>
      <c r="E45" s="1" t="s">
        <v>35</v>
      </c>
      <c r="F45" s="1" t="s">
        <v>51</v>
      </c>
      <c r="G45" s="2">
        <v>45029</v>
      </c>
      <c r="H45" s="1" t="s">
        <v>67</v>
      </c>
      <c r="I45" s="1">
        <v>1</v>
      </c>
      <c r="J45" s="1">
        <v>8723</v>
      </c>
      <c r="K45" s="1">
        <v>8723</v>
      </c>
    </row>
    <row r="46" spans="1:11" x14ac:dyDescent="0.3">
      <c r="A46" s="1">
        <v>45</v>
      </c>
      <c r="B46" s="1" t="s">
        <v>13</v>
      </c>
      <c r="C46" s="1" t="s">
        <v>16</v>
      </c>
      <c r="D46" s="1" t="s">
        <v>28</v>
      </c>
      <c r="E46" s="1" t="s">
        <v>39</v>
      </c>
      <c r="F46" s="1" t="s">
        <v>59</v>
      </c>
      <c r="G46" s="2">
        <v>45125</v>
      </c>
      <c r="H46" s="1" t="s">
        <v>64</v>
      </c>
      <c r="I46" s="1">
        <v>49</v>
      </c>
      <c r="J46" s="1">
        <v>47377</v>
      </c>
      <c r="K46" s="1">
        <v>2321473</v>
      </c>
    </row>
    <row r="47" spans="1:11" x14ac:dyDescent="0.3">
      <c r="A47" s="1">
        <v>46</v>
      </c>
      <c r="B47" s="1" t="s">
        <v>13</v>
      </c>
      <c r="C47" s="1" t="s">
        <v>17</v>
      </c>
      <c r="D47" s="1" t="s">
        <v>33</v>
      </c>
      <c r="E47" s="1" t="s">
        <v>37</v>
      </c>
      <c r="F47" s="1" t="s">
        <v>58</v>
      </c>
      <c r="G47" s="2">
        <v>45032</v>
      </c>
      <c r="H47" s="1" t="s">
        <v>67</v>
      </c>
      <c r="I47" s="1">
        <v>1</v>
      </c>
      <c r="J47" s="1">
        <v>33602</v>
      </c>
      <c r="K47" s="1">
        <v>33602</v>
      </c>
    </row>
    <row r="48" spans="1:11" x14ac:dyDescent="0.3">
      <c r="A48" s="1">
        <v>47</v>
      </c>
      <c r="B48" s="1" t="s">
        <v>15</v>
      </c>
      <c r="C48" s="1" t="s">
        <v>17</v>
      </c>
      <c r="D48" s="1" t="s">
        <v>22</v>
      </c>
      <c r="E48" s="1" t="s">
        <v>39</v>
      </c>
      <c r="F48" s="1" t="s">
        <v>46</v>
      </c>
      <c r="G48" s="2">
        <v>44950</v>
      </c>
      <c r="H48" s="1" t="s">
        <v>68</v>
      </c>
      <c r="I48" s="1">
        <v>31</v>
      </c>
      <c r="J48" s="1">
        <v>6484</v>
      </c>
      <c r="K48" s="1">
        <v>201004</v>
      </c>
    </row>
    <row r="49" spans="1:11" x14ac:dyDescent="0.3">
      <c r="A49" s="1">
        <v>48</v>
      </c>
      <c r="B49" s="1" t="s">
        <v>12</v>
      </c>
      <c r="C49" s="1" t="s">
        <v>18</v>
      </c>
      <c r="D49" s="1" t="s">
        <v>25</v>
      </c>
      <c r="E49" s="1" t="s">
        <v>38</v>
      </c>
      <c r="F49" s="1" t="s">
        <v>49</v>
      </c>
      <c r="G49" s="2">
        <v>44974</v>
      </c>
      <c r="H49" s="1" t="s">
        <v>70</v>
      </c>
      <c r="I49" s="1">
        <v>41</v>
      </c>
      <c r="J49" s="1">
        <v>15314</v>
      </c>
      <c r="K49" s="1">
        <v>627874</v>
      </c>
    </row>
    <row r="50" spans="1:11" x14ac:dyDescent="0.3">
      <c r="A50" s="1">
        <v>49</v>
      </c>
      <c r="B50" s="1" t="s">
        <v>13</v>
      </c>
      <c r="C50" s="1" t="s">
        <v>16</v>
      </c>
      <c r="D50" s="1" t="s">
        <v>34</v>
      </c>
      <c r="E50" s="1" t="s">
        <v>39</v>
      </c>
      <c r="F50" s="1" t="s">
        <v>52</v>
      </c>
      <c r="G50" s="2">
        <v>45003</v>
      </c>
      <c r="H50" s="1" t="s">
        <v>65</v>
      </c>
      <c r="I50" s="1">
        <v>44</v>
      </c>
      <c r="J50" s="1">
        <v>49285</v>
      </c>
      <c r="K50" s="1">
        <v>2168540</v>
      </c>
    </row>
    <row r="51" spans="1:11" x14ac:dyDescent="0.3">
      <c r="A51" s="1">
        <v>50</v>
      </c>
      <c r="B51" s="1" t="s">
        <v>15</v>
      </c>
      <c r="C51" s="1" t="s">
        <v>18</v>
      </c>
      <c r="D51" s="1" t="s">
        <v>31</v>
      </c>
      <c r="E51" s="1" t="s">
        <v>38</v>
      </c>
      <c r="F51" s="1" t="s">
        <v>45</v>
      </c>
      <c r="G51" s="2">
        <v>44928</v>
      </c>
      <c r="H51" s="1" t="s">
        <v>68</v>
      </c>
      <c r="I51" s="1">
        <v>17</v>
      </c>
      <c r="J51" s="1">
        <v>41534</v>
      </c>
      <c r="K51" s="1">
        <v>706078</v>
      </c>
    </row>
    <row r="52" spans="1:11" x14ac:dyDescent="0.3">
      <c r="A52" s="1">
        <v>51</v>
      </c>
      <c r="B52" s="1" t="s">
        <v>13</v>
      </c>
      <c r="C52" s="1" t="s">
        <v>18</v>
      </c>
      <c r="D52" s="1" t="s">
        <v>25</v>
      </c>
      <c r="E52" s="1" t="s">
        <v>39</v>
      </c>
      <c r="F52" s="1" t="s">
        <v>47</v>
      </c>
      <c r="G52" s="2">
        <v>45246</v>
      </c>
      <c r="H52" s="1" t="s">
        <v>62</v>
      </c>
      <c r="I52" s="1">
        <v>31</v>
      </c>
      <c r="J52" s="1">
        <v>27774</v>
      </c>
      <c r="K52" s="1">
        <v>860994</v>
      </c>
    </row>
    <row r="53" spans="1:11" x14ac:dyDescent="0.3">
      <c r="A53" s="1">
        <v>52</v>
      </c>
      <c r="B53" s="1" t="s">
        <v>15</v>
      </c>
      <c r="C53" s="1" t="s">
        <v>16</v>
      </c>
      <c r="D53" s="1" t="s">
        <v>31</v>
      </c>
      <c r="E53" s="1" t="s">
        <v>36</v>
      </c>
      <c r="F53" s="1" t="s">
        <v>45</v>
      </c>
      <c r="G53" s="2">
        <v>45197</v>
      </c>
      <c r="H53" s="1" t="s">
        <v>66</v>
      </c>
      <c r="I53" s="1">
        <v>30</v>
      </c>
      <c r="J53" s="1">
        <v>20230</v>
      </c>
      <c r="K53" s="1">
        <v>606900</v>
      </c>
    </row>
    <row r="54" spans="1:11" x14ac:dyDescent="0.3">
      <c r="A54" s="1">
        <v>53</v>
      </c>
      <c r="B54" s="1" t="s">
        <v>12</v>
      </c>
      <c r="C54" s="1" t="s">
        <v>17</v>
      </c>
      <c r="D54" s="1" t="s">
        <v>31</v>
      </c>
      <c r="E54" s="1" t="s">
        <v>39</v>
      </c>
      <c r="F54" s="1" t="s">
        <v>56</v>
      </c>
      <c r="G54" s="2">
        <v>45188</v>
      </c>
      <c r="H54" s="1" t="s">
        <v>66</v>
      </c>
      <c r="I54" s="1">
        <v>10</v>
      </c>
      <c r="J54" s="1">
        <v>45521</v>
      </c>
      <c r="K54" s="1">
        <v>455210</v>
      </c>
    </row>
    <row r="55" spans="1:11" x14ac:dyDescent="0.3">
      <c r="A55" s="1">
        <v>54</v>
      </c>
      <c r="B55" s="1" t="s">
        <v>13</v>
      </c>
      <c r="C55" s="1" t="s">
        <v>16</v>
      </c>
      <c r="D55" s="1" t="s">
        <v>24</v>
      </c>
      <c r="E55" s="1" t="s">
        <v>38</v>
      </c>
      <c r="F55" s="1" t="s">
        <v>52</v>
      </c>
      <c r="G55" s="2">
        <v>45037</v>
      </c>
      <c r="H55" s="1" t="s">
        <v>67</v>
      </c>
      <c r="I55" s="1">
        <v>42</v>
      </c>
      <c r="J55" s="1">
        <v>40422</v>
      </c>
      <c r="K55" s="1">
        <v>1697724</v>
      </c>
    </row>
    <row r="56" spans="1:11" x14ac:dyDescent="0.3">
      <c r="A56" s="1">
        <v>55</v>
      </c>
      <c r="B56" s="1" t="s">
        <v>12</v>
      </c>
      <c r="C56" s="1" t="s">
        <v>17</v>
      </c>
      <c r="D56" s="1" t="s">
        <v>22</v>
      </c>
      <c r="E56" s="1" t="s">
        <v>39</v>
      </c>
      <c r="F56" s="1" t="s">
        <v>53</v>
      </c>
      <c r="G56" s="2">
        <v>45224</v>
      </c>
      <c r="H56" s="1" t="s">
        <v>63</v>
      </c>
      <c r="I56" s="1">
        <v>15</v>
      </c>
      <c r="J56" s="1">
        <v>39449</v>
      </c>
      <c r="K56" s="1">
        <v>591735</v>
      </c>
    </row>
    <row r="57" spans="1:11" x14ac:dyDescent="0.3">
      <c r="A57" s="1">
        <v>56</v>
      </c>
      <c r="B57" s="1" t="s">
        <v>13</v>
      </c>
      <c r="C57" s="1" t="s">
        <v>16</v>
      </c>
      <c r="D57" s="1" t="s">
        <v>24</v>
      </c>
      <c r="E57" s="1" t="s">
        <v>40</v>
      </c>
      <c r="F57" s="1" t="s">
        <v>41</v>
      </c>
      <c r="G57" s="2">
        <v>45210</v>
      </c>
      <c r="H57" s="1" t="s">
        <v>63</v>
      </c>
      <c r="I57" s="1">
        <v>23</v>
      </c>
      <c r="J57" s="1">
        <v>49211</v>
      </c>
      <c r="K57" s="1">
        <v>1131853</v>
      </c>
    </row>
    <row r="58" spans="1:11" x14ac:dyDescent="0.3">
      <c r="A58" s="1">
        <v>57</v>
      </c>
      <c r="B58" s="1" t="s">
        <v>13</v>
      </c>
      <c r="C58" s="1" t="s">
        <v>16</v>
      </c>
      <c r="D58" s="1" t="s">
        <v>21</v>
      </c>
      <c r="E58" s="1" t="s">
        <v>37</v>
      </c>
      <c r="F58" s="1" t="s">
        <v>46</v>
      </c>
      <c r="G58" s="2">
        <v>45030</v>
      </c>
      <c r="H58" s="1" t="s">
        <v>67</v>
      </c>
      <c r="I58" s="1">
        <v>37</v>
      </c>
      <c r="J58" s="1">
        <v>19854</v>
      </c>
      <c r="K58" s="1">
        <v>734598</v>
      </c>
    </row>
    <row r="59" spans="1:11" x14ac:dyDescent="0.3">
      <c r="A59" s="1">
        <v>58</v>
      </c>
      <c r="B59" s="1" t="s">
        <v>15</v>
      </c>
      <c r="C59" s="1" t="s">
        <v>18</v>
      </c>
      <c r="D59" s="1" t="s">
        <v>26</v>
      </c>
      <c r="E59" s="1" t="s">
        <v>40</v>
      </c>
      <c r="F59" s="1" t="s">
        <v>46</v>
      </c>
      <c r="G59" s="2">
        <v>45062</v>
      </c>
      <c r="H59" s="1" t="s">
        <v>61</v>
      </c>
      <c r="I59" s="1">
        <v>13</v>
      </c>
      <c r="J59" s="1">
        <v>13061</v>
      </c>
      <c r="K59" s="1">
        <v>169793</v>
      </c>
    </row>
    <row r="60" spans="1:11" x14ac:dyDescent="0.3">
      <c r="A60" s="1">
        <v>59</v>
      </c>
      <c r="B60" s="1" t="s">
        <v>15</v>
      </c>
      <c r="C60" s="1" t="s">
        <v>17</v>
      </c>
      <c r="D60" s="1" t="s">
        <v>28</v>
      </c>
      <c r="E60" s="1" t="s">
        <v>37</v>
      </c>
      <c r="F60" s="1" t="s">
        <v>41</v>
      </c>
      <c r="G60" s="2">
        <v>45237</v>
      </c>
      <c r="H60" s="1" t="s">
        <v>62</v>
      </c>
      <c r="I60" s="1">
        <v>50</v>
      </c>
      <c r="J60" s="1">
        <v>48797</v>
      </c>
      <c r="K60" s="1">
        <v>2439850</v>
      </c>
    </row>
    <row r="61" spans="1:11" x14ac:dyDescent="0.3">
      <c r="A61" s="1">
        <v>60</v>
      </c>
      <c r="B61" s="1" t="s">
        <v>15</v>
      </c>
      <c r="C61" s="1" t="s">
        <v>17</v>
      </c>
      <c r="D61" s="1" t="s">
        <v>19</v>
      </c>
      <c r="E61" s="1" t="s">
        <v>36</v>
      </c>
      <c r="F61" s="1" t="s">
        <v>43</v>
      </c>
      <c r="G61" s="2">
        <v>45269</v>
      </c>
      <c r="H61" s="1" t="s">
        <v>69</v>
      </c>
      <c r="I61" s="1">
        <v>30</v>
      </c>
      <c r="J61" s="1">
        <v>25405</v>
      </c>
      <c r="K61" s="1">
        <v>762150</v>
      </c>
    </row>
    <row r="62" spans="1:11" x14ac:dyDescent="0.3">
      <c r="A62" s="1">
        <v>61</v>
      </c>
      <c r="B62" s="1" t="s">
        <v>14</v>
      </c>
      <c r="C62" s="1" t="s">
        <v>18</v>
      </c>
      <c r="D62" s="1" t="s">
        <v>29</v>
      </c>
      <c r="E62" s="1" t="s">
        <v>35</v>
      </c>
      <c r="F62" s="1" t="s">
        <v>42</v>
      </c>
      <c r="G62" s="2">
        <v>45079</v>
      </c>
      <c r="H62" s="1" t="s">
        <v>71</v>
      </c>
      <c r="I62" s="1">
        <v>13</v>
      </c>
      <c r="J62" s="1">
        <v>41139</v>
      </c>
      <c r="K62" s="1">
        <v>534807</v>
      </c>
    </row>
    <row r="63" spans="1:11" x14ac:dyDescent="0.3">
      <c r="A63" s="1">
        <v>62</v>
      </c>
      <c r="B63" s="1" t="s">
        <v>14</v>
      </c>
      <c r="C63" s="1" t="s">
        <v>16</v>
      </c>
      <c r="D63" s="1" t="s">
        <v>34</v>
      </c>
      <c r="E63" s="1" t="s">
        <v>38</v>
      </c>
      <c r="F63" s="1" t="s">
        <v>48</v>
      </c>
      <c r="G63" s="2">
        <v>44954</v>
      </c>
      <c r="H63" s="1" t="s">
        <v>68</v>
      </c>
      <c r="I63" s="1">
        <v>36</v>
      </c>
      <c r="J63" s="1">
        <v>40396</v>
      </c>
      <c r="K63" s="1">
        <v>1454256</v>
      </c>
    </row>
    <row r="64" spans="1:11" x14ac:dyDescent="0.3">
      <c r="A64" s="1">
        <v>63</v>
      </c>
      <c r="B64" s="1" t="s">
        <v>12</v>
      </c>
      <c r="C64" s="1" t="s">
        <v>16</v>
      </c>
      <c r="D64" s="1" t="s">
        <v>21</v>
      </c>
      <c r="E64" s="1" t="s">
        <v>40</v>
      </c>
      <c r="F64" s="1" t="s">
        <v>45</v>
      </c>
      <c r="G64" s="2">
        <v>45102</v>
      </c>
      <c r="H64" s="1" t="s">
        <v>71</v>
      </c>
      <c r="I64" s="1">
        <v>31</v>
      </c>
      <c r="J64" s="1">
        <v>36134</v>
      </c>
      <c r="K64" s="1">
        <v>1120154</v>
      </c>
    </row>
    <row r="65" spans="1:11" x14ac:dyDescent="0.3">
      <c r="A65" s="1">
        <v>64</v>
      </c>
      <c r="B65" s="1" t="s">
        <v>11</v>
      </c>
      <c r="C65" s="1" t="s">
        <v>16</v>
      </c>
      <c r="D65" s="1" t="s">
        <v>25</v>
      </c>
      <c r="E65" s="1" t="s">
        <v>35</v>
      </c>
      <c r="F65" s="1" t="s">
        <v>53</v>
      </c>
      <c r="G65" s="2">
        <v>45071</v>
      </c>
      <c r="H65" s="1" t="s">
        <v>61</v>
      </c>
      <c r="I65" s="1">
        <v>14</v>
      </c>
      <c r="J65" s="1">
        <v>1044</v>
      </c>
      <c r="K65" s="1">
        <v>14616</v>
      </c>
    </row>
    <row r="66" spans="1:11" x14ac:dyDescent="0.3">
      <c r="A66" s="1">
        <v>65</v>
      </c>
      <c r="B66" s="1" t="s">
        <v>12</v>
      </c>
      <c r="C66" s="1" t="s">
        <v>16</v>
      </c>
      <c r="D66" s="1" t="s">
        <v>19</v>
      </c>
      <c r="E66" s="1" t="s">
        <v>36</v>
      </c>
      <c r="F66" s="1" t="s">
        <v>45</v>
      </c>
      <c r="G66" s="2">
        <v>45130</v>
      </c>
      <c r="H66" s="1" t="s">
        <v>64</v>
      </c>
      <c r="I66" s="1">
        <v>47</v>
      </c>
      <c r="J66" s="1">
        <v>30665</v>
      </c>
      <c r="K66" s="1">
        <v>1441255</v>
      </c>
    </row>
    <row r="67" spans="1:11" x14ac:dyDescent="0.3">
      <c r="A67" s="1">
        <v>66</v>
      </c>
      <c r="B67" s="1" t="s">
        <v>15</v>
      </c>
      <c r="C67" s="1" t="s">
        <v>16</v>
      </c>
      <c r="D67" s="1" t="s">
        <v>20</v>
      </c>
      <c r="E67" s="1" t="s">
        <v>35</v>
      </c>
      <c r="F67" s="1" t="s">
        <v>55</v>
      </c>
      <c r="G67" s="2">
        <v>44949</v>
      </c>
      <c r="H67" s="1" t="s">
        <v>68</v>
      </c>
      <c r="I67" s="1">
        <v>13</v>
      </c>
      <c r="J67" s="1">
        <v>14072</v>
      </c>
      <c r="K67" s="1">
        <v>182936</v>
      </c>
    </row>
    <row r="68" spans="1:11" x14ac:dyDescent="0.3">
      <c r="A68" s="1">
        <v>67</v>
      </c>
      <c r="B68" s="1" t="s">
        <v>12</v>
      </c>
      <c r="C68" s="1" t="s">
        <v>17</v>
      </c>
      <c r="D68" s="1" t="s">
        <v>19</v>
      </c>
      <c r="E68" s="1" t="s">
        <v>39</v>
      </c>
      <c r="F68" s="1" t="s">
        <v>47</v>
      </c>
      <c r="G68" s="2">
        <v>45158</v>
      </c>
      <c r="H68" s="1" t="s">
        <v>72</v>
      </c>
      <c r="I68" s="1">
        <v>21</v>
      </c>
      <c r="J68" s="1">
        <v>9538</v>
      </c>
      <c r="K68" s="1">
        <v>200298</v>
      </c>
    </row>
    <row r="69" spans="1:11" x14ac:dyDescent="0.3">
      <c r="A69" s="1">
        <v>68</v>
      </c>
      <c r="B69" s="1" t="s">
        <v>14</v>
      </c>
      <c r="C69" s="1" t="s">
        <v>16</v>
      </c>
      <c r="D69" s="1" t="s">
        <v>25</v>
      </c>
      <c r="E69" s="1" t="s">
        <v>37</v>
      </c>
      <c r="F69" s="1" t="s">
        <v>45</v>
      </c>
      <c r="G69" s="2">
        <v>45166</v>
      </c>
      <c r="H69" s="1" t="s">
        <v>72</v>
      </c>
      <c r="I69" s="1">
        <v>2</v>
      </c>
      <c r="J69" s="1">
        <v>15858</v>
      </c>
      <c r="K69" s="1">
        <v>31716</v>
      </c>
    </row>
    <row r="70" spans="1:11" x14ac:dyDescent="0.3">
      <c r="A70" s="1">
        <v>69</v>
      </c>
      <c r="B70" s="1" t="s">
        <v>14</v>
      </c>
      <c r="C70" s="1" t="s">
        <v>16</v>
      </c>
      <c r="D70" s="1" t="s">
        <v>22</v>
      </c>
      <c r="E70" s="1" t="s">
        <v>35</v>
      </c>
      <c r="F70" s="1" t="s">
        <v>45</v>
      </c>
      <c r="G70" s="2">
        <v>45234</v>
      </c>
      <c r="H70" s="1" t="s">
        <v>62</v>
      </c>
      <c r="I70" s="1">
        <v>37</v>
      </c>
      <c r="J70" s="1">
        <v>33596</v>
      </c>
      <c r="K70" s="1">
        <v>1243052</v>
      </c>
    </row>
    <row r="71" spans="1:11" x14ac:dyDescent="0.3">
      <c r="A71" s="1">
        <v>70</v>
      </c>
      <c r="B71" s="1" t="s">
        <v>14</v>
      </c>
      <c r="C71" s="1" t="s">
        <v>18</v>
      </c>
      <c r="D71" s="1" t="s">
        <v>32</v>
      </c>
      <c r="E71" s="1" t="s">
        <v>37</v>
      </c>
      <c r="F71" s="1" t="s">
        <v>42</v>
      </c>
      <c r="G71" s="2">
        <v>45085</v>
      </c>
      <c r="H71" s="1" t="s">
        <v>71</v>
      </c>
      <c r="I71" s="1">
        <v>19</v>
      </c>
      <c r="J71" s="1">
        <v>48358</v>
      </c>
      <c r="K71" s="1">
        <v>918802</v>
      </c>
    </row>
    <row r="72" spans="1:11" x14ac:dyDescent="0.3">
      <c r="A72" s="1">
        <v>71</v>
      </c>
      <c r="B72" s="1" t="s">
        <v>12</v>
      </c>
      <c r="C72" s="1" t="s">
        <v>16</v>
      </c>
      <c r="D72" s="1" t="s">
        <v>29</v>
      </c>
      <c r="E72" s="1" t="s">
        <v>40</v>
      </c>
      <c r="F72" s="1" t="s">
        <v>57</v>
      </c>
      <c r="G72" s="2">
        <v>45268</v>
      </c>
      <c r="H72" s="1" t="s">
        <v>69</v>
      </c>
      <c r="I72" s="1">
        <v>19</v>
      </c>
      <c r="J72" s="1">
        <v>23172</v>
      </c>
      <c r="K72" s="1">
        <v>440268</v>
      </c>
    </row>
    <row r="73" spans="1:11" x14ac:dyDescent="0.3">
      <c r="A73" s="1">
        <v>72</v>
      </c>
      <c r="B73" s="1" t="s">
        <v>13</v>
      </c>
      <c r="C73" s="1" t="s">
        <v>18</v>
      </c>
      <c r="D73" s="1" t="s">
        <v>23</v>
      </c>
      <c r="E73" s="1" t="s">
        <v>37</v>
      </c>
      <c r="F73" s="1" t="s">
        <v>58</v>
      </c>
      <c r="G73" s="2">
        <v>45226</v>
      </c>
      <c r="H73" s="1" t="s">
        <v>63</v>
      </c>
      <c r="I73" s="1">
        <v>41</v>
      </c>
      <c r="J73" s="1">
        <v>28583</v>
      </c>
      <c r="K73" s="1">
        <v>1171903</v>
      </c>
    </row>
    <row r="74" spans="1:11" x14ac:dyDescent="0.3">
      <c r="A74" s="1">
        <v>73</v>
      </c>
      <c r="B74" s="1" t="s">
        <v>13</v>
      </c>
      <c r="C74" s="1" t="s">
        <v>17</v>
      </c>
      <c r="D74" s="1" t="s">
        <v>25</v>
      </c>
      <c r="E74" s="1" t="s">
        <v>37</v>
      </c>
      <c r="F74" s="1" t="s">
        <v>47</v>
      </c>
      <c r="G74" s="2">
        <v>45219</v>
      </c>
      <c r="H74" s="1" t="s">
        <v>63</v>
      </c>
      <c r="I74" s="1">
        <v>13</v>
      </c>
      <c r="J74" s="1">
        <v>15560</v>
      </c>
      <c r="K74" s="1">
        <v>202280</v>
      </c>
    </row>
    <row r="75" spans="1:11" x14ac:dyDescent="0.3">
      <c r="A75" s="1">
        <v>74</v>
      </c>
      <c r="B75" s="1" t="s">
        <v>14</v>
      </c>
      <c r="C75" s="1" t="s">
        <v>17</v>
      </c>
      <c r="D75" s="1" t="s">
        <v>22</v>
      </c>
      <c r="E75" s="1" t="s">
        <v>37</v>
      </c>
      <c r="F75" s="1" t="s">
        <v>51</v>
      </c>
      <c r="G75" s="2">
        <v>44944</v>
      </c>
      <c r="H75" s="1" t="s">
        <v>68</v>
      </c>
      <c r="I75" s="1">
        <v>15</v>
      </c>
      <c r="J75" s="1">
        <v>31094</v>
      </c>
      <c r="K75" s="1">
        <v>466410</v>
      </c>
    </row>
    <row r="76" spans="1:11" x14ac:dyDescent="0.3">
      <c r="A76" s="1">
        <v>75</v>
      </c>
      <c r="B76" s="1" t="s">
        <v>14</v>
      </c>
      <c r="C76" s="1" t="s">
        <v>18</v>
      </c>
      <c r="D76" s="1" t="s">
        <v>32</v>
      </c>
      <c r="E76" s="1" t="s">
        <v>35</v>
      </c>
      <c r="F76" s="1" t="s">
        <v>45</v>
      </c>
      <c r="G76" s="2">
        <v>45123</v>
      </c>
      <c r="H76" s="1" t="s">
        <v>64</v>
      </c>
      <c r="I76" s="1">
        <v>41</v>
      </c>
      <c r="J76" s="1">
        <v>27719</v>
      </c>
      <c r="K76" s="1">
        <v>1136479</v>
      </c>
    </row>
    <row r="77" spans="1:11" x14ac:dyDescent="0.3">
      <c r="A77" s="1">
        <v>76</v>
      </c>
      <c r="B77" s="1" t="s">
        <v>15</v>
      </c>
      <c r="C77" s="1" t="s">
        <v>17</v>
      </c>
      <c r="D77" s="1" t="s">
        <v>27</v>
      </c>
      <c r="E77" s="1" t="s">
        <v>40</v>
      </c>
      <c r="F77" s="1" t="s">
        <v>59</v>
      </c>
      <c r="G77" s="2">
        <v>44927</v>
      </c>
      <c r="H77" s="1" t="s">
        <v>68</v>
      </c>
      <c r="I77" s="1">
        <v>12</v>
      </c>
      <c r="J77" s="1">
        <v>27545</v>
      </c>
      <c r="K77" s="1">
        <v>330540</v>
      </c>
    </row>
    <row r="78" spans="1:11" x14ac:dyDescent="0.3">
      <c r="A78" s="1">
        <v>77</v>
      </c>
      <c r="B78" s="1" t="s">
        <v>15</v>
      </c>
      <c r="C78" s="1" t="s">
        <v>16</v>
      </c>
      <c r="D78" s="1" t="s">
        <v>28</v>
      </c>
      <c r="E78" s="1" t="s">
        <v>36</v>
      </c>
      <c r="F78" s="1" t="s">
        <v>47</v>
      </c>
      <c r="G78" s="2">
        <v>45280</v>
      </c>
      <c r="H78" s="1" t="s">
        <v>69</v>
      </c>
      <c r="I78" s="1">
        <v>19</v>
      </c>
      <c r="J78" s="1">
        <v>7865</v>
      </c>
      <c r="K78" s="1">
        <v>149435</v>
      </c>
    </row>
    <row r="79" spans="1:11" x14ac:dyDescent="0.3">
      <c r="A79" s="1">
        <v>78</v>
      </c>
      <c r="B79" s="1" t="s">
        <v>14</v>
      </c>
      <c r="C79" s="1" t="s">
        <v>17</v>
      </c>
      <c r="D79" s="1" t="s">
        <v>23</v>
      </c>
      <c r="E79" s="1" t="s">
        <v>39</v>
      </c>
      <c r="F79" s="1" t="s">
        <v>44</v>
      </c>
      <c r="G79" s="2">
        <v>45050</v>
      </c>
      <c r="H79" s="1" t="s">
        <v>61</v>
      </c>
      <c r="I79" s="1">
        <v>48</v>
      </c>
      <c r="J79" s="1">
        <v>18469</v>
      </c>
      <c r="K79" s="1">
        <v>886512</v>
      </c>
    </row>
    <row r="80" spans="1:11" x14ac:dyDescent="0.3">
      <c r="A80" s="1">
        <v>79</v>
      </c>
      <c r="B80" s="1" t="s">
        <v>12</v>
      </c>
      <c r="C80" s="1" t="s">
        <v>17</v>
      </c>
      <c r="D80" s="1" t="s">
        <v>24</v>
      </c>
      <c r="E80" s="1" t="s">
        <v>36</v>
      </c>
      <c r="F80" s="1" t="s">
        <v>41</v>
      </c>
      <c r="G80" s="2">
        <v>45037</v>
      </c>
      <c r="H80" s="1" t="s">
        <v>67</v>
      </c>
      <c r="I80" s="1">
        <v>22</v>
      </c>
      <c r="J80" s="1">
        <v>16514</v>
      </c>
      <c r="K80" s="1">
        <v>363308</v>
      </c>
    </row>
    <row r="81" spans="1:11" x14ac:dyDescent="0.3">
      <c r="A81" s="1">
        <v>80</v>
      </c>
      <c r="B81" s="1" t="s">
        <v>11</v>
      </c>
      <c r="C81" s="1" t="s">
        <v>16</v>
      </c>
      <c r="D81" s="1" t="s">
        <v>25</v>
      </c>
      <c r="E81" s="1" t="s">
        <v>38</v>
      </c>
      <c r="F81" s="1" t="s">
        <v>58</v>
      </c>
      <c r="G81" s="2">
        <v>44932</v>
      </c>
      <c r="H81" s="1" t="s">
        <v>68</v>
      </c>
      <c r="I81" s="1">
        <v>10</v>
      </c>
      <c r="J81" s="1">
        <v>40741</v>
      </c>
      <c r="K81" s="1">
        <v>407410</v>
      </c>
    </row>
    <row r="82" spans="1:11" x14ac:dyDescent="0.3">
      <c r="A82" s="1">
        <v>81</v>
      </c>
      <c r="B82" s="1" t="s">
        <v>11</v>
      </c>
      <c r="C82" s="1" t="s">
        <v>16</v>
      </c>
      <c r="D82" s="1" t="s">
        <v>30</v>
      </c>
      <c r="E82" s="1" t="s">
        <v>36</v>
      </c>
      <c r="F82" s="1" t="s">
        <v>42</v>
      </c>
      <c r="G82" s="2">
        <v>45270</v>
      </c>
      <c r="H82" s="1" t="s">
        <v>69</v>
      </c>
      <c r="I82" s="1">
        <v>10</v>
      </c>
      <c r="J82" s="1">
        <v>33360</v>
      </c>
      <c r="K82" s="1">
        <v>333600</v>
      </c>
    </row>
    <row r="83" spans="1:11" x14ac:dyDescent="0.3">
      <c r="A83" s="1">
        <v>82</v>
      </c>
      <c r="B83" s="1" t="s">
        <v>11</v>
      </c>
      <c r="C83" s="1" t="s">
        <v>18</v>
      </c>
      <c r="D83" s="1" t="s">
        <v>21</v>
      </c>
      <c r="E83" s="1" t="s">
        <v>38</v>
      </c>
      <c r="F83" s="1" t="s">
        <v>51</v>
      </c>
      <c r="G83" s="2">
        <v>45000</v>
      </c>
      <c r="H83" s="1" t="s">
        <v>65</v>
      </c>
      <c r="I83" s="1">
        <v>9</v>
      </c>
      <c r="J83" s="1">
        <v>1301</v>
      </c>
      <c r="K83" s="1">
        <v>11709</v>
      </c>
    </row>
    <row r="84" spans="1:11" x14ac:dyDescent="0.3">
      <c r="A84" s="1">
        <v>83</v>
      </c>
      <c r="B84" s="1" t="s">
        <v>11</v>
      </c>
      <c r="C84" s="1" t="s">
        <v>18</v>
      </c>
      <c r="D84" s="1" t="s">
        <v>34</v>
      </c>
      <c r="E84" s="1" t="s">
        <v>35</v>
      </c>
      <c r="F84" s="1" t="s">
        <v>59</v>
      </c>
      <c r="G84" s="2">
        <v>45177</v>
      </c>
      <c r="H84" s="1" t="s">
        <v>66</v>
      </c>
      <c r="I84" s="1">
        <v>4</v>
      </c>
      <c r="J84" s="1">
        <v>32807</v>
      </c>
      <c r="K84" s="1">
        <v>131228</v>
      </c>
    </row>
    <row r="85" spans="1:11" x14ac:dyDescent="0.3">
      <c r="A85" s="1">
        <v>84</v>
      </c>
      <c r="B85" s="1" t="s">
        <v>12</v>
      </c>
      <c r="C85" s="1" t="s">
        <v>18</v>
      </c>
      <c r="D85" s="1" t="s">
        <v>24</v>
      </c>
      <c r="E85" s="1" t="s">
        <v>36</v>
      </c>
      <c r="F85" s="1" t="s">
        <v>47</v>
      </c>
      <c r="G85" s="2">
        <v>44979</v>
      </c>
      <c r="H85" s="1" t="s">
        <v>70</v>
      </c>
      <c r="I85" s="1">
        <v>33</v>
      </c>
      <c r="J85" s="1">
        <v>8291</v>
      </c>
      <c r="K85" s="1">
        <v>273603</v>
      </c>
    </row>
    <row r="86" spans="1:11" x14ac:dyDescent="0.3">
      <c r="A86" s="1">
        <v>85</v>
      </c>
      <c r="B86" s="1" t="s">
        <v>14</v>
      </c>
      <c r="C86" s="1" t="s">
        <v>16</v>
      </c>
      <c r="D86" s="1" t="s">
        <v>26</v>
      </c>
      <c r="E86" s="1" t="s">
        <v>36</v>
      </c>
      <c r="F86" s="1" t="s">
        <v>52</v>
      </c>
      <c r="G86" s="2">
        <v>45062</v>
      </c>
      <c r="H86" s="1" t="s">
        <v>61</v>
      </c>
      <c r="I86" s="1">
        <v>24</v>
      </c>
      <c r="J86" s="1">
        <v>36688</v>
      </c>
      <c r="K86" s="1">
        <v>880512</v>
      </c>
    </row>
    <row r="87" spans="1:11" x14ac:dyDescent="0.3">
      <c r="A87" s="1">
        <v>86</v>
      </c>
      <c r="B87" s="1" t="s">
        <v>14</v>
      </c>
      <c r="C87" s="1" t="s">
        <v>16</v>
      </c>
      <c r="D87" s="1" t="s">
        <v>19</v>
      </c>
      <c r="E87" s="1" t="s">
        <v>40</v>
      </c>
      <c r="F87" s="1" t="s">
        <v>43</v>
      </c>
      <c r="G87" s="2">
        <v>45036</v>
      </c>
      <c r="H87" s="1" t="s">
        <v>67</v>
      </c>
      <c r="I87" s="1">
        <v>37</v>
      </c>
      <c r="J87" s="1">
        <v>44220</v>
      </c>
      <c r="K87" s="1">
        <v>1636140</v>
      </c>
    </row>
    <row r="88" spans="1:11" x14ac:dyDescent="0.3">
      <c r="A88" s="1">
        <v>87</v>
      </c>
      <c r="B88" s="1" t="s">
        <v>13</v>
      </c>
      <c r="C88" s="1" t="s">
        <v>18</v>
      </c>
      <c r="D88" s="1" t="s">
        <v>25</v>
      </c>
      <c r="E88" s="1" t="s">
        <v>37</v>
      </c>
      <c r="F88" s="1" t="s">
        <v>45</v>
      </c>
      <c r="G88" s="2">
        <v>44980</v>
      </c>
      <c r="H88" s="1" t="s">
        <v>70</v>
      </c>
      <c r="I88" s="1">
        <v>44</v>
      </c>
      <c r="J88" s="1">
        <v>36703</v>
      </c>
      <c r="K88" s="1">
        <v>1614932</v>
      </c>
    </row>
    <row r="89" spans="1:11" x14ac:dyDescent="0.3">
      <c r="A89" s="1">
        <v>88</v>
      </c>
      <c r="B89" s="1" t="s">
        <v>15</v>
      </c>
      <c r="C89" s="1" t="s">
        <v>16</v>
      </c>
      <c r="D89" s="1" t="s">
        <v>20</v>
      </c>
      <c r="E89" s="1" t="s">
        <v>38</v>
      </c>
      <c r="F89" s="1" t="s">
        <v>45</v>
      </c>
      <c r="G89" s="2">
        <v>45174</v>
      </c>
      <c r="H89" s="1" t="s">
        <v>66</v>
      </c>
      <c r="I89" s="1">
        <v>47</v>
      </c>
      <c r="J89" s="1">
        <v>19317</v>
      </c>
      <c r="K89" s="1">
        <v>907899</v>
      </c>
    </row>
    <row r="90" spans="1:11" x14ac:dyDescent="0.3">
      <c r="A90" s="1">
        <v>89</v>
      </c>
      <c r="B90" s="1" t="s">
        <v>11</v>
      </c>
      <c r="C90" s="1" t="s">
        <v>17</v>
      </c>
      <c r="D90" s="1" t="s">
        <v>26</v>
      </c>
      <c r="E90" s="1" t="s">
        <v>35</v>
      </c>
      <c r="F90" s="1" t="s">
        <v>54</v>
      </c>
      <c r="G90" s="2">
        <v>45234</v>
      </c>
      <c r="H90" s="1" t="s">
        <v>62</v>
      </c>
      <c r="I90" s="1">
        <v>28</v>
      </c>
      <c r="J90" s="1">
        <v>20282</v>
      </c>
      <c r="K90" s="1">
        <v>567896</v>
      </c>
    </row>
    <row r="91" spans="1:11" x14ac:dyDescent="0.3">
      <c r="A91" s="1">
        <v>90</v>
      </c>
      <c r="B91" s="1" t="s">
        <v>15</v>
      </c>
      <c r="C91" s="1" t="s">
        <v>17</v>
      </c>
      <c r="D91" s="1" t="s">
        <v>23</v>
      </c>
      <c r="E91" s="1" t="s">
        <v>36</v>
      </c>
      <c r="F91" s="1" t="s">
        <v>54</v>
      </c>
      <c r="G91" s="2">
        <v>45210</v>
      </c>
      <c r="H91" s="1" t="s">
        <v>63</v>
      </c>
      <c r="I91" s="1">
        <v>26</v>
      </c>
      <c r="J91" s="1">
        <v>38112</v>
      </c>
      <c r="K91" s="1">
        <v>990912</v>
      </c>
    </row>
    <row r="92" spans="1:11" x14ac:dyDescent="0.3">
      <c r="A92" s="1">
        <v>91</v>
      </c>
      <c r="B92" s="1" t="s">
        <v>13</v>
      </c>
      <c r="C92" s="1" t="s">
        <v>17</v>
      </c>
      <c r="D92" s="1" t="s">
        <v>27</v>
      </c>
      <c r="E92" s="1" t="s">
        <v>39</v>
      </c>
      <c r="F92" s="1" t="s">
        <v>49</v>
      </c>
      <c r="G92" s="2">
        <v>44960</v>
      </c>
      <c r="H92" s="1" t="s">
        <v>70</v>
      </c>
      <c r="I92" s="1">
        <v>34</v>
      </c>
      <c r="J92" s="1">
        <v>6813</v>
      </c>
      <c r="K92" s="1">
        <v>231642</v>
      </c>
    </row>
    <row r="93" spans="1:11" x14ac:dyDescent="0.3">
      <c r="A93" s="1">
        <v>92</v>
      </c>
      <c r="B93" s="1" t="s">
        <v>13</v>
      </c>
      <c r="C93" s="1" t="s">
        <v>18</v>
      </c>
      <c r="D93" s="1" t="s">
        <v>29</v>
      </c>
      <c r="E93" s="1" t="s">
        <v>39</v>
      </c>
      <c r="F93" s="1" t="s">
        <v>51</v>
      </c>
      <c r="G93" s="2">
        <v>45250</v>
      </c>
      <c r="H93" s="1" t="s">
        <v>62</v>
      </c>
      <c r="I93" s="1">
        <v>41</v>
      </c>
      <c r="J93" s="1">
        <v>10410</v>
      </c>
      <c r="K93" s="1">
        <v>426810</v>
      </c>
    </row>
    <row r="94" spans="1:11" x14ac:dyDescent="0.3">
      <c r="A94" s="1">
        <v>93</v>
      </c>
      <c r="B94" s="1" t="s">
        <v>15</v>
      </c>
      <c r="C94" s="1" t="s">
        <v>17</v>
      </c>
      <c r="D94" s="1" t="s">
        <v>23</v>
      </c>
      <c r="E94" s="1" t="s">
        <v>35</v>
      </c>
      <c r="F94" s="1" t="s">
        <v>57</v>
      </c>
      <c r="G94" s="2">
        <v>44965</v>
      </c>
      <c r="H94" s="1" t="s">
        <v>70</v>
      </c>
      <c r="I94" s="1">
        <v>5</v>
      </c>
      <c r="J94" s="1">
        <v>39549</v>
      </c>
      <c r="K94" s="1">
        <v>197745</v>
      </c>
    </row>
    <row r="95" spans="1:11" x14ac:dyDescent="0.3">
      <c r="A95" s="1">
        <v>94</v>
      </c>
      <c r="B95" s="1" t="s">
        <v>15</v>
      </c>
      <c r="C95" s="1" t="s">
        <v>18</v>
      </c>
      <c r="D95" s="1" t="s">
        <v>28</v>
      </c>
      <c r="E95" s="1" t="s">
        <v>40</v>
      </c>
      <c r="F95" s="1" t="s">
        <v>59</v>
      </c>
      <c r="G95" s="2">
        <v>45049</v>
      </c>
      <c r="H95" s="1" t="s">
        <v>61</v>
      </c>
      <c r="I95" s="1">
        <v>5</v>
      </c>
      <c r="J95" s="1">
        <v>39386</v>
      </c>
      <c r="K95" s="1">
        <v>196930</v>
      </c>
    </row>
    <row r="96" spans="1:11" x14ac:dyDescent="0.3">
      <c r="A96" s="1">
        <v>95</v>
      </c>
      <c r="B96" s="1" t="s">
        <v>11</v>
      </c>
      <c r="C96" s="1" t="s">
        <v>18</v>
      </c>
      <c r="D96" s="1" t="s">
        <v>32</v>
      </c>
      <c r="E96" s="1" t="s">
        <v>39</v>
      </c>
      <c r="F96" s="1" t="s">
        <v>45</v>
      </c>
      <c r="G96" s="2">
        <v>45094</v>
      </c>
      <c r="H96" s="1" t="s">
        <v>71</v>
      </c>
      <c r="I96" s="1">
        <v>2</v>
      </c>
      <c r="J96" s="1">
        <v>30739</v>
      </c>
      <c r="K96" s="1">
        <v>61478</v>
      </c>
    </row>
    <row r="97" spans="1:11" x14ac:dyDescent="0.3">
      <c r="A97" s="1">
        <v>96</v>
      </c>
      <c r="B97" s="1" t="s">
        <v>15</v>
      </c>
      <c r="C97" s="1" t="s">
        <v>17</v>
      </c>
      <c r="D97" s="1" t="s">
        <v>31</v>
      </c>
      <c r="E97" s="1" t="s">
        <v>37</v>
      </c>
      <c r="F97" s="1" t="s">
        <v>49</v>
      </c>
      <c r="G97" s="2">
        <v>45212</v>
      </c>
      <c r="H97" s="1" t="s">
        <v>63</v>
      </c>
      <c r="I97" s="1">
        <v>48</v>
      </c>
      <c r="J97" s="1">
        <v>40944</v>
      </c>
      <c r="K97" s="1">
        <v>1965312</v>
      </c>
    </row>
    <row r="98" spans="1:11" x14ac:dyDescent="0.3">
      <c r="A98" s="1">
        <v>97</v>
      </c>
      <c r="B98" s="1" t="s">
        <v>12</v>
      </c>
      <c r="C98" s="1" t="s">
        <v>17</v>
      </c>
      <c r="D98" s="1" t="s">
        <v>21</v>
      </c>
      <c r="E98" s="1" t="s">
        <v>37</v>
      </c>
      <c r="F98" s="1" t="s">
        <v>56</v>
      </c>
      <c r="G98" s="2">
        <v>45072</v>
      </c>
      <c r="H98" s="1" t="s">
        <v>61</v>
      </c>
      <c r="I98" s="1">
        <v>14</v>
      </c>
      <c r="J98" s="1">
        <v>45758</v>
      </c>
      <c r="K98" s="1">
        <v>640612</v>
      </c>
    </row>
    <row r="99" spans="1:11" x14ac:dyDescent="0.3">
      <c r="A99" s="1">
        <v>98</v>
      </c>
      <c r="B99" s="1" t="s">
        <v>13</v>
      </c>
      <c r="C99" s="1" t="s">
        <v>18</v>
      </c>
      <c r="D99" s="1" t="s">
        <v>24</v>
      </c>
      <c r="E99" s="1" t="s">
        <v>39</v>
      </c>
      <c r="F99" s="1" t="s">
        <v>55</v>
      </c>
      <c r="G99" s="2">
        <v>45223</v>
      </c>
      <c r="H99" s="1" t="s">
        <v>63</v>
      </c>
      <c r="I99" s="1">
        <v>42</v>
      </c>
      <c r="J99" s="1">
        <v>43788</v>
      </c>
      <c r="K99" s="1">
        <v>1839096</v>
      </c>
    </row>
    <row r="100" spans="1:11" x14ac:dyDescent="0.3">
      <c r="A100" s="1">
        <v>99</v>
      </c>
      <c r="B100" s="1" t="s">
        <v>13</v>
      </c>
      <c r="C100" s="1" t="s">
        <v>17</v>
      </c>
      <c r="D100" s="1" t="s">
        <v>25</v>
      </c>
      <c r="E100" s="1" t="s">
        <v>37</v>
      </c>
      <c r="F100" s="1" t="s">
        <v>47</v>
      </c>
      <c r="G100" s="2">
        <v>44988</v>
      </c>
      <c r="H100" s="1" t="s">
        <v>65</v>
      </c>
      <c r="I100" s="1">
        <v>26</v>
      </c>
      <c r="J100" s="1">
        <v>7321</v>
      </c>
      <c r="K100" s="1">
        <v>190346</v>
      </c>
    </row>
    <row r="101" spans="1:11" x14ac:dyDescent="0.3">
      <c r="A101" s="1">
        <v>100</v>
      </c>
      <c r="B101" s="1" t="s">
        <v>15</v>
      </c>
      <c r="C101" s="1" t="s">
        <v>16</v>
      </c>
      <c r="D101" s="1" t="s">
        <v>29</v>
      </c>
      <c r="E101" s="1" t="s">
        <v>39</v>
      </c>
      <c r="F101" s="1" t="s">
        <v>43</v>
      </c>
      <c r="G101" s="2">
        <v>44952</v>
      </c>
      <c r="H101" s="1" t="s">
        <v>68</v>
      </c>
      <c r="I101" s="1">
        <v>12</v>
      </c>
      <c r="J101" s="1">
        <v>8276</v>
      </c>
      <c r="K101" s="1">
        <v>99312</v>
      </c>
    </row>
    <row r="102" spans="1:11" x14ac:dyDescent="0.3">
      <c r="A102" s="1">
        <v>101</v>
      </c>
      <c r="B102" s="1" t="s">
        <v>14</v>
      </c>
      <c r="C102" s="1" t="s">
        <v>18</v>
      </c>
      <c r="D102" s="1" t="s">
        <v>33</v>
      </c>
      <c r="E102" s="1" t="s">
        <v>40</v>
      </c>
      <c r="F102" s="1" t="s">
        <v>51</v>
      </c>
      <c r="G102" s="2">
        <v>44954</v>
      </c>
      <c r="H102" s="1" t="s">
        <v>68</v>
      </c>
      <c r="I102" s="1">
        <v>30</v>
      </c>
      <c r="J102" s="1">
        <v>43314</v>
      </c>
      <c r="K102" s="1">
        <v>1299420</v>
      </c>
    </row>
    <row r="103" spans="1:11" x14ac:dyDescent="0.3">
      <c r="A103" s="1">
        <v>102</v>
      </c>
      <c r="B103" s="1" t="s">
        <v>15</v>
      </c>
      <c r="C103" s="1" t="s">
        <v>16</v>
      </c>
      <c r="D103" s="1" t="s">
        <v>26</v>
      </c>
      <c r="E103" s="1" t="s">
        <v>37</v>
      </c>
      <c r="F103" s="1" t="s">
        <v>41</v>
      </c>
      <c r="G103" s="2">
        <v>45238</v>
      </c>
      <c r="H103" s="1" t="s">
        <v>62</v>
      </c>
      <c r="I103" s="1">
        <v>3</v>
      </c>
      <c r="J103" s="1">
        <v>9540</v>
      </c>
      <c r="K103" s="1">
        <v>28620</v>
      </c>
    </row>
    <row r="104" spans="1:11" x14ac:dyDescent="0.3">
      <c r="A104" s="1">
        <v>103</v>
      </c>
      <c r="B104" s="1" t="s">
        <v>11</v>
      </c>
      <c r="C104" s="1" t="s">
        <v>17</v>
      </c>
      <c r="D104" s="1" t="s">
        <v>31</v>
      </c>
      <c r="E104" s="1" t="s">
        <v>39</v>
      </c>
      <c r="F104" s="1" t="s">
        <v>54</v>
      </c>
      <c r="G104" s="2">
        <v>44937</v>
      </c>
      <c r="H104" s="1" t="s">
        <v>68</v>
      </c>
      <c r="I104" s="1">
        <v>50</v>
      </c>
      <c r="J104" s="1">
        <v>33955</v>
      </c>
      <c r="K104" s="1">
        <v>1697750</v>
      </c>
    </row>
    <row r="105" spans="1:11" x14ac:dyDescent="0.3">
      <c r="A105" s="1">
        <v>104</v>
      </c>
      <c r="B105" s="1" t="s">
        <v>13</v>
      </c>
      <c r="C105" s="1" t="s">
        <v>18</v>
      </c>
      <c r="D105" s="1" t="s">
        <v>23</v>
      </c>
      <c r="E105" s="1" t="s">
        <v>37</v>
      </c>
      <c r="F105" s="1" t="s">
        <v>42</v>
      </c>
      <c r="G105" s="2">
        <v>45114</v>
      </c>
      <c r="H105" s="1" t="s">
        <v>64</v>
      </c>
      <c r="I105" s="1">
        <v>21</v>
      </c>
      <c r="J105" s="1">
        <v>33635</v>
      </c>
      <c r="K105" s="1">
        <v>706335</v>
      </c>
    </row>
    <row r="106" spans="1:11" x14ac:dyDescent="0.3">
      <c r="A106" s="1">
        <v>105</v>
      </c>
      <c r="B106" s="1" t="s">
        <v>15</v>
      </c>
      <c r="C106" s="1" t="s">
        <v>17</v>
      </c>
      <c r="D106" s="1" t="s">
        <v>23</v>
      </c>
      <c r="E106" s="1" t="s">
        <v>38</v>
      </c>
      <c r="F106" s="1" t="s">
        <v>51</v>
      </c>
      <c r="G106" s="2">
        <v>45041</v>
      </c>
      <c r="H106" s="1" t="s">
        <v>67</v>
      </c>
      <c r="I106" s="1">
        <v>21</v>
      </c>
      <c r="J106" s="1">
        <v>27242</v>
      </c>
      <c r="K106" s="1">
        <v>572082</v>
      </c>
    </row>
    <row r="107" spans="1:11" x14ac:dyDescent="0.3">
      <c r="A107" s="1">
        <v>106</v>
      </c>
      <c r="B107" s="1" t="s">
        <v>11</v>
      </c>
      <c r="C107" s="1" t="s">
        <v>18</v>
      </c>
      <c r="D107" s="1" t="s">
        <v>27</v>
      </c>
      <c r="E107" s="1" t="s">
        <v>39</v>
      </c>
      <c r="F107" s="1" t="s">
        <v>58</v>
      </c>
      <c r="G107" s="2">
        <v>45244</v>
      </c>
      <c r="H107" s="1" t="s">
        <v>62</v>
      </c>
      <c r="I107" s="1">
        <v>33</v>
      </c>
      <c r="J107" s="1">
        <v>8092</v>
      </c>
      <c r="K107" s="1">
        <v>267036</v>
      </c>
    </row>
    <row r="108" spans="1:11" x14ac:dyDescent="0.3">
      <c r="A108" s="1">
        <v>107</v>
      </c>
      <c r="B108" s="1" t="s">
        <v>14</v>
      </c>
      <c r="C108" s="1" t="s">
        <v>16</v>
      </c>
      <c r="D108" s="1" t="s">
        <v>23</v>
      </c>
      <c r="E108" s="1" t="s">
        <v>38</v>
      </c>
      <c r="F108" s="1" t="s">
        <v>56</v>
      </c>
      <c r="G108" s="2">
        <v>45285</v>
      </c>
      <c r="H108" s="1" t="s">
        <v>69</v>
      </c>
      <c r="I108" s="1">
        <v>41</v>
      </c>
      <c r="J108" s="1">
        <v>20866</v>
      </c>
      <c r="K108" s="1">
        <v>855506</v>
      </c>
    </row>
    <row r="109" spans="1:11" x14ac:dyDescent="0.3">
      <c r="A109" s="1">
        <v>108</v>
      </c>
      <c r="B109" s="1" t="s">
        <v>13</v>
      </c>
      <c r="C109" s="1" t="s">
        <v>17</v>
      </c>
      <c r="D109" s="1" t="s">
        <v>19</v>
      </c>
      <c r="E109" s="1" t="s">
        <v>39</v>
      </c>
      <c r="F109" s="1" t="s">
        <v>52</v>
      </c>
      <c r="G109" s="2">
        <v>45197</v>
      </c>
      <c r="H109" s="1" t="s">
        <v>66</v>
      </c>
      <c r="I109" s="1">
        <v>13</v>
      </c>
      <c r="J109" s="1">
        <v>36527</v>
      </c>
      <c r="K109" s="1">
        <v>474851</v>
      </c>
    </row>
    <row r="110" spans="1:11" x14ac:dyDescent="0.3">
      <c r="A110" s="1">
        <v>109</v>
      </c>
      <c r="B110" s="1" t="s">
        <v>11</v>
      </c>
      <c r="C110" s="1" t="s">
        <v>16</v>
      </c>
      <c r="D110" s="1" t="s">
        <v>21</v>
      </c>
      <c r="E110" s="1" t="s">
        <v>35</v>
      </c>
      <c r="F110" s="1" t="s">
        <v>55</v>
      </c>
      <c r="G110" s="2">
        <v>45109</v>
      </c>
      <c r="H110" s="1" t="s">
        <v>64</v>
      </c>
      <c r="I110" s="1">
        <v>1</v>
      </c>
      <c r="J110" s="1">
        <v>27091</v>
      </c>
      <c r="K110" s="1">
        <v>27091</v>
      </c>
    </row>
    <row r="111" spans="1:11" x14ac:dyDescent="0.3">
      <c r="A111" s="1">
        <v>110</v>
      </c>
      <c r="B111" s="1" t="s">
        <v>13</v>
      </c>
      <c r="C111" s="1" t="s">
        <v>17</v>
      </c>
      <c r="D111" s="1" t="s">
        <v>29</v>
      </c>
      <c r="E111" s="1" t="s">
        <v>38</v>
      </c>
      <c r="F111" s="1" t="s">
        <v>54</v>
      </c>
      <c r="G111" s="2">
        <v>45083</v>
      </c>
      <c r="H111" s="1" t="s">
        <v>71</v>
      </c>
      <c r="I111" s="1">
        <v>29</v>
      </c>
      <c r="J111" s="1">
        <v>25726</v>
      </c>
      <c r="K111" s="1">
        <v>746054</v>
      </c>
    </row>
    <row r="112" spans="1:11" x14ac:dyDescent="0.3">
      <c r="A112" s="1">
        <v>111</v>
      </c>
      <c r="B112" s="1" t="s">
        <v>13</v>
      </c>
      <c r="C112" s="1" t="s">
        <v>17</v>
      </c>
      <c r="D112" s="1" t="s">
        <v>21</v>
      </c>
      <c r="E112" s="1" t="s">
        <v>37</v>
      </c>
      <c r="F112" s="1" t="s">
        <v>57</v>
      </c>
      <c r="G112" s="2">
        <v>45042</v>
      </c>
      <c r="H112" s="1" t="s">
        <v>67</v>
      </c>
      <c r="I112" s="1">
        <v>19</v>
      </c>
      <c r="J112" s="1">
        <v>33372</v>
      </c>
      <c r="K112" s="1">
        <v>634068</v>
      </c>
    </row>
    <row r="113" spans="1:11" x14ac:dyDescent="0.3">
      <c r="A113" s="1">
        <v>112</v>
      </c>
      <c r="B113" s="1" t="s">
        <v>11</v>
      </c>
      <c r="C113" s="1" t="s">
        <v>18</v>
      </c>
      <c r="D113" s="1" t="s">
        <v>29</v>
      </c>
      <c r="E113" s="1" t="s">
        <v>36</v>
      </c>
      <c r="F113" s="1" t="s">
        <v>60</v>
      </c>
      <c r="G113" s="2">
        <v>44994</v>
      </c>
      <c r="H113" s="1" t="s">
        <v>65</v>
      </c>
      <c r="I113" s="1">
        <v>25</v>
      </c>
      <c r="J113" s="1">
        <v>21554</v>
      </c>
      <c r="K113" s="1">
        <v>538850</v>
      </c>
    </row>
    <row r="114" spans="1:11" x14ac:dyDescent="0.3">
      <c r="A114" s="1">
        <v>113</v>
      </c>
      <c r="B114" s="1" t="s">
        <v>14</v>
      </c>
      <c r="C114" s="1" t="s">
        <v>17</v>
      </c>
      <c r="D114" s="1" t="s">
        <v>30</v>
      </c>
      <c r="E114" s="1" t="s">
        <v>40</v>
      </c>
      <c r="F114" s="1" t="s">
        <v>51</v>
      </c>
      <c r="G114" s="2">
        <v>45212</v>
      </c>
      <c r="H114" s="1" t="s">
        <v>63</v>
      </c>
      <c r="I114" s="1">
        <v>18</v>
      </c>
      <c r="J114" s="1">
        <v>22217</v>
      </c>
      <c r="K114" s="1">
        <v>399906</v>
      </c>
    </row>
    <row r="115" spans="1:11" x14ac:dyDescent="0.3">
      <c r="A115" s="1">
        <v>114</v>
      </c>
      <c r="B115" s="1" t="s">
        <v>12</v>
      </c>
      <c r="C115" s="1" t="s">
        <v>16</v>
      </c>
      <c r="D115" s="1" t="s">
        <v>28</v>
      </c>
      <c r="E115" s="1" t="s">
        <v>36</v>
      </c>
      <c r="F115" s="1" t="s">
        <v>44</v>
      </c>
      <c r="G115" s="2">
        <v>45233</v>
      </c>
      <c r="H115" s="1" t="s">
        <v>62</v>
      </c>
      <c r="I115" s="1">
        <v>38</v>
      </c>
      <c r="J115" s="1">
        <v>35560</v>
      </c>
      <c r="K115" s="1">
        <v>1351280</v>
      </c>
    </row>
    <row r="116" spans="1:11" x14ac:dyDescent="0.3">
      <c r="A116" s="1">
        <v>115</v>
      </c>
      <c r="B116" s="1" t="s">
        <v>14</v>
      </c>
      <c r="C116" s="1" t="s">
        <v>17</v>
      </c>
      <c r="D116" s="1" t="s">
        <v>31</v>
      </c>
      <c r="E116" s="1" t="s">
        <v>38</v>
      </c>
      <c r="F116" s="1" t="s">
        <v>51</v>
      </c>
      <c r="G116" s="2">
        <v>45276</v>
      </c>
      <c r="H116" s="1" t="s">
        <v>69</v>
      </c>
      <c r="I116" s="1">
        <v>10</v>
      </c>
      <c r="J116" s="1">
        <v>35135</v>
      </c>
      <c r="K116" s="1">
        <v>351350</v>
      </c>
    </row>
    <row r="117" spans="1:11" x14ac:dyDescent="0.3">
      <c r="A117" s="1">
        <v>116</v>
      </c>
      <c r="B117" s="1" t="s">
        <v>12</v>
      </c>
      <c r="C117" s="1" t="s">
        <v>16</v>
      </c>
      <c r="D117" s="1" t="s">
        <v>31</v>
      </c>
      <c r="E117" s="1" t="s">
        <v>36</v>
      </c>
      <c r="F117" s="1" t="s">
        <v>43</v>
      </c>
      <c r="G117" s="2">
        <v>45283</v>
      </c>
      <c r="H117" s="1" t="s">
        <v>69</v>
      </c>
      <c r="I117" s="1">
        <v>26</v>
      </c>
      <c r="J117" s="1">
        <v>19143</v>
      </c>
      <c r="K117" s="1">
        <v>497718</v>
      </c>
    </row>
    <row r="118" spans="1:11" x14ac:dyDescent="0.3">
      <c r="A118" s="1">
        <v>117</v>
      </c>
      <c r="B118" s="1" t="s">
        <v>15</v>
      </c>
      <c r="C118" s="1" t="s">
        <v>17</v>
      </c>
      <c r="D118" s="1" t="s">
        <v>19</v>
      </c>
      <c r="E118" s="1" t="s">
        <v>38</v>
      </c>
      <c r="F118" s="1" t="s">
        <v>49</v>
      </c>
      <c r="G118" s="2">
        <v>45279</v>
      </c>
      <c r="H118" s="1" t="s">
        <v>69</v>
      </c>
      <c r="I118" s="1">
        <v>1</v>
      </c>
      <c r="J118" s="1">
        <v>24373</v>
      </c>
      <c r="K118" s="1">
        <v>24373</v>
      </c>
    </row>
    <row r="119" spans="1:11" x14ac:dyDescent="0.3">
      <c r="A119" s="1">
        <v>118</v>
      </c>
      <c r="B119" s="1" t="s">
        <v>13</v>
      </c>
      <c r="C119" s="1" t="s">
        <v>17</v>
      </c>
      <c r="D119" s="1" t="s">
        <v>25</v>
      </c>
      <c r="E119" s="1" t="s">
        <v>39</v>
      </c>
      <c r="F119" s="1" t="s">
        <v>50</v>
      </c>
      <c r="G119" s="2">
        <v>45172</v>
      </c>
      <c r="H119" s="1" t="s">
        <v>66</v>
      </c>
      <c r="I119" s="1">
        <v>17</v>
      </c>
      <c r="J119" s="1">
        <v>21296</v>
      </c>
      <c r="K119" s="1">
        <v>362032</v>
      </c>
    </row>
    <row r="120" spans="1:11" x14ac:dyDescent="0.3">
      <c r="A120" s="1">
        <v>119</v>
      </c>
      <c r="B120" s="1" t="s">
        <v>13</v>
      </c>
      <c r="C120" s="1" t="s">
        <v>17</v>
      </c>
      <c r="D120" s="1" t="s">
        <v>22</v>
      </c>
      <c r="E120" s="1" t="s">
        <v>37</v>
      </c>
      <c r="F120" s="1" t="s">
        <v>48</v>
      </c>
      <c r="G120" s="2">
        <v>45112</v>
      </c>
      <c r="H120" s="1" t="s">
        <v>64</v>
      </c>
      <c r="I120" s="1">
        <v>13</v>
      </c>
      <c r="J120" s="1">
        <v>44701</v>
      </c>
      <c r="K120" s="1">
        <v>581113</v>
      </c>
    </row>
    <row r="121" spans="1:11" x14ac:dyDescent="0.3">
      <c r="A121" s="1">
        <v>120</v>
      </c>
      <c r="B121" s="1" t="s">
        <v>11</v>
      </c>
      <c r="C121" s="1" t="s">
        <v>17</v>
      </c>
      <c r="D121" s="1" t="s">
        <v>26</v>
      </c>
      <c r="E121" s="1" t="s">
        <v>36</v>
      </c>
      <c r="F121" s="1" t="s">
        <v>41</v>
      </c>
      <c r="G121" s="2">
        <v>45033</v>
      </c>
      <c r="H121" s="1" t="s">
        <v>67</v>
      </c>
      <c r="I121" s="1">
        <v>49</v>
      </c>
      <c r="J121" s="1">
        <v>26113</v>
      </c>
      <c r="K121" s="1">
        <v>1279537</v>
      </c>
    </row>
    <row r="122" spans="1:11" x14ac:dyDescent="0.3">
      <c r="A122" s="1">
        <v>121</v>
      </c>
      <c r="B122" s="1" t="s">
        <v>14</v>
      </c>
      <c r="C122" s="1" t="s">
        <v>18</v>
      </c>
      <c r="D122" s="1" t="s">
        <v>32</v>
      </c>
      <c r="E122" s="1" t="s">
        <v>37</v>
      </c>
      <c r="F122" s="1" t="s">
        <v>45</v>
      </c>
      <c r="G122" s="2">
        <v>45010</v>
      </c>
      <c r="H122" s="1" t="s">
        <v>65</v>
      </c>
      <c r="I122" s="1">
        <v>38</v>
      </c>
      <c r="J122" s="1">
        <v>22445</v>
      </c>
      <c r="K122" s="1">
        <v>852910</v>
      </c>
    </row>
    <row r="123" spans="1:11" x14ac:dyDescent="0.3">
      <c r="A123" s="1">
        <v>122</v>
      </c>
      <c r="B123" s="1" t="s">
        <v>11</v>
      </c>
      <c r="C123" s="1" t="s">
        <v>16</v>
      </c>
      <c r="D123" s="1" t="s">
        <v>19</v>
      </c>
      <c r="E123" s="1" t="s">
        <v>36</v>
      </c>
      <c r="F123" s="1" t="s">
        <v>60</v>
      </c>
      <c r="G123" s="2">
        <v>45162</v>
      </c>
      <c r="H123" s="1" t="s">
        <v>72</v>
      </c>
      <c r="I123" s="1">
        <v>30</v>
      </c>
      <c r="J123" s="1">
        <v>6826</v>
      </c>
      <c r="K123" s="1">
        <v>204780</v>
      </c>
    </row>
    <row r="124" spans="1:11" x14ac:dyDescent="0.3">
      <c r="A124" s="1">
        <v>123</v>
      </c>
      <c r="B124" s="1" t="s">
        <v>11</v>
      </c>
      <c r="C124" s="1" t="s">
        <v>16</v>
      </c>
      <c r="D124" s="1" t="s">
        <v>30</v>
      </c>
      <c r="E124" s="1" t="s">
        <v>35</v>
      </c>
      <c r="F124" s="1" t="s">
        <v>53</v>
      </c>
      <c r="G124" s="2">
        <v>45264</v>
      </c>
      <c r="H124" s="1" t="s">
        <v>69</v>
      </c>
      <c r="I124" s="1">
        <v>30</v>
      </c>
      <c r="J124" s="1">
        <v>37649</v>
      </c>
      <c r="K124" s="1">
        <v>1129470</v>
      </c>
    </row>
    <row r="125" spans="1:11" x14ac:dyDescent="0.3">
      <c r="A125" s="1">
        <v>124</v>
      </c>
      <c r="B125" s="1" t="s">
        <v>11</v>
      </c>
      <c r="C125" s="1" t="s">
        <v>17</v>
      </c>
      <c r="D125" s="1" t="s">
        <v>34</v>
      </c>
      <c r="E125" s="1" t="s">
        <v>35</v>
      </c>
      <c r="F125" s="1" t="s">
        <v>51</v>
      </c>
      <c r="G125" s="2">
        <v>45279</v>
      </c>
      <c r="H125" s="1" t="s">
        <v>69</v>
      </c>
      <c r="I125" s="1">
        <v>48</v>
      </c>
      <c r="J125" s="1">
        <v>20806</v>
      </c>
      <c r="K125" s="1">
        <v>998688</v>
      </c>
    </row>
    <row r="126" spans="1:11" x14ac:dyDescent="0.3">
      <c r="A126" s="1">
        <v>125</v>
      </c>
      <c r="B126" s="1" t="s">
        <v>14</v>
      </c>
      <c r="C126" s="1" t="s">
        <v>18</v>
      </c>
      <c r="D126" s="1" t="s">
        <v>28</v>
      </c>
      <c r="E126" s="1" t="s">
        <v>38</v>
      </c>
      <c r="F126" s="1" t="s">
        <v>52</v>
      </c>
      <c r="G126" s="2">
        <v>44989</v>
      </c>
      <c r="H126" s="1" t="s">
        <v>65</v>
      </c>
      <c r="I126" s="1">
        <v>19</v>
      </c>
      <c r="J126" s="1">
        <v>47794</v>
      </c>
      <c r="K126" s="1">
        <v>908086</v>
      </c>
    </row>
    <row r="127" spans="1:11" x14ac:dyDescent="0.3">
      <c r="A127" s="1">
        <v>126</v>
      </c>
      <c r="B127" s="1" t="s">
        <v>14</v>
      </c>
      <c r="C127" s="1" t="s">
        <v>18</v>
      </c>
      <c r="D127" s="1" t="s">
        <v>30</v>
      </c>
      <c r="E127" s="1" t="s">
        <v>35</v>
      </c>
      <c r="F127" s="1" t="s">
        <v>48</v>
      </c>
      <c r="G127" s="2">
        <v>45185</v>
      </c>
      <c r="H127" s="1" t="s">
        <v>66</v>
      </c>
      <c r="I127" s="1">
        <v>14</v>
      </c>
      <c r="J127" s="1">
        <v>24904</v>
      </c>
      <c r="K127" s="1">
        <v>348656</v>
      </c>
    </row>
    <row r="128" spans="1:11" x14ac:dyDescent="0.3">
      <c r="A128" s="1">
        <v>127</v>
      </c>
      <c r="B128" s="1" t="s">
        <v>11</v>
      </c>
      <c r="C128" s="1" t="s">
        <v>17</v>
      </c>
      <c r="D128" s="1" t="s">
        <v>29</v>
      </c>
      <c r="E128" s="1" t="s">
        <v>39</v>
      </c>
      <c r="F128" s="1" t="s">
        <v>42</v>
      </c>
      <c r="G128" s="2">
        <v>45042</v>
      </c>
      <c r="H128" s="1" t="s">
        <v>67</v>
      </c>
      <c r="I128" s="1">
        <v>48</v>
      </c>
      <c r="J128" s="1">
        <v>25141</v>
      </c>
      <c r="K128" s="1">
        <v>1206768</v>
      </c>
    </row>
    <row r="129" spans="1:11" x14ac:dyDescent="0.3">
      <c r="A129" s="1">
        <v>128</v>
      </c>
      <c r="B129" s="1" t="s">
        <v>12</v>
      </c>
      <c r="C129" s="1" t="s">
        <v>17</v>
      </c>
      <c r="D129" s="1" t="s">
        <v>21</v>
      </c>
      <c r="E129" s="1" t="s">
        <v>36</v>
      </c>
      <c r="F129" s="1" t="s">
        <v>49</v>
      </c>
      <c r="G129" s="2">
        <v>45051</v>
      </c>
      <c r="H129" s="1" t="s">
        <v>61</v>
      </c>
      <c r="I129" s="1">
        <v>5</v>
      </c>
      <c r="J129" s="1">
        <v>5751</v>
      </c>
      <c r="K129" s="1">
        <v>28755</v>
      </c>
    </row>
    <row r="130" spans="1:11" x14ac:dyDescent="0.3">
      <c r="A130" s="1">
        <v>129</v>
      </c>
      <c r="B130" s="1" t="s">
        <v>14</v>
      </c>
      <c r="C130" s="1" t="s">
        <v>18</v>
      </c>
      <c r="D130" s="1" t="s">
        <v>26</v>
      </c>
      <c r="E130" s="1" t="s">
        <v>38</v>
      </c>
      <c r="F130" s="1" t="s">
        <v>53</v>
      </c>
      <c r="G130" s="2">
        <v>45192</v>
      </c>
      <c r="H130" s="1" t="s">
        <v>66</v>
      </c>
      <c r="I130" s="1">
        <v>33</v>
      </c>
      <c r="J130" s="1">
        <v>22297</v>
      </c>
      <c r="K130" s="1">
        <v>735801</v>
      </c>
    </row>
    <row r="131" spans="1:11" x14ac:dyDescent="0.3">
      <c r="A131" s="1">
        <v>130</v>
      </c>
      <c r="B131" s="1" t="s">
        <v>13</v>
      </c>
      <c r="C131" s="1" t="s">
        <v>16</v>
      </c>
      <c r="D131" s="1" t="s">
        <v>31</v>
      </c>
      <c r="E131" s="1" t="s">
        <v>37</v>
      </c>
      <c r="F131" s="1" t="s">
        <v>55</v>
      </c>
      <c r="G131" s="2">
        <v>45126</v>
      </c>
      <c r="H131" s="1" t="s">
        <v>64</v>
      </c>
      <c r="I131" s="1">
        <v>33</v>
      </c>
      <c r="J131" s="1">
        <v>46153</v>
      </c>
      <c r="K131" s="1">
        <v>1523049</v>
      </c>
    </row>
    <row r="132" spans="1:11" x14ac:dyDescent="0.3">
      <c r="A132" s="1">
        <v>131</v>
      </c>
      <c r="B132" s="1" t="s">
        <v>15</v>
      </c>
      <c r="C132" s="1" t="s">
        <v>18</v>
      </c>
      <c r="D132" s="1" t="s">
        <v>19</v>
      </c>
      <c r="E132" s="1" t="s">
        <v>37</v>
      </c>
      <c r="F132" s="1" t="s">
        <v>55</v>
      </c>
      <c r="G132" s="2">
        <v>45190</v>
      </c>
      <c r="H132" s="1" t="s">
        <v>66</v>
      </c>
      <c r="I132" s="1">
        <v>2</v>
      </c>
      <c r="J132" s="1">
        <v>17312</v>
      </c>
      <c r="K132" s="1">
        <v>34624</v>
      </c>
    </row>
    <row r="133" spans="1:11" x14ac:dyDescent="0.3">
      <c r="A133" s="1">
        <v>132</v>
      </c>
      <c r="B133" s="1" t="s">
        <v>12</v>
      </c>
      <c r="C133" s="1" t="s">
        <v>17</v>
      </c>
      <c r="D133" s="1" t="s">
        <v>30</v>
      </c>
      <c r="E133" s="1" t="s">
        <v>37</v>
      </c>
      <c r="F133" s="1" t="s">
        <v>56</v>
      </c>
      <c r="G133" s="2">
        <v>45187</v>
      </c>
      <c r="H133" s="1" t="s">
        <v>66</v>
      </c>
      <c r="I133" s="1">
        <v>26</v>
      </c>
      <c r="J133" s="1">
        <v>15690</v>
      </c>
      <c r="K133" s="1">
        <v>407940</v>
      </c>
    </row>
    <row r="134" spans="1:11" x14ac:dyDescent="0.3">
      <c r="A134" s="1">
        <v>133</v>
      </c>
      <c r="B134" s="1" t="s">
        <v>12</v>
      </c>
      <c r="C134" s="1" t="s">
        <v>17</v>
      </c>
      <c r="D134" s="1" t="s">
        <v>22</v>
      </c>
      <c r="E134" s="1" t="s">
        <v>36</v>
      </c>
      <c r="F134" s="1" t="s">
        <v>57</v>
      </c>
      <c r="G134" s="2">
        <v>45275</v>
      </c>
      <c r="H134" s="1" t="s">
        <v>69</v>
      </c>
      <c r="I134" s="1">
        <v>2</v>
      </c>
      <c r="J134" s="1">
        <v>22988</v>
      </c>
      <c r="K134" s="1">
        <v>45976</v>
      </c>
    </row>
    <row r="135" spans="1:11" x14ac:dyDescent="0.3">
      <c r="A135" s="1">
        <v>134</v>
      </c>
      <c r="B135" s="1" t="s">
        <v>14</v>
      </c>
      <c r="C135" s="1" t="s">
        <v>17</v>
      </c>
      <c r="D135" s="1" t="s">
        <v>22</v>
      </c>
      <c r="E135" s="1" t="s">
        <v>39</v>
      </c>
      <c r="F135" s="1" t="s">
        <v>43</v>
      </c>
      <c r="G135" s="2">
        <v>45087</v>
      </c>
      <c r="H135" s="1" t="s">
        <v>71</v>
      </c>
      <c r="I135" s="1">
        <v>37</v>
      </c>
      <c r="J135" s="1">
        <v>47504</v>
      </c>
      <c r="K135" s="1">
        <v>1757648</v>
      </c>
    </row>
    <row r="136" spans="1:11" x14ac:dyDescent="0.3">
      <c r="A136" s="1">
        <v>135</v>
      </c>
      <c r="B136" s="1" t="s">
        <v>12</v>
      </c>
      <c r="C136" s="1" t="s">
        <v>17</v>
      </c>
      <c r="D136" s="1" t="s">
        <v>22</v>
      </c>
      <c r="E136" s="1" t="s">
        <v>40</v>
      </c>
      <c r="F136" s="1" t="s">
        <v>58</v>
      </c>
      <c r="G136" s="2">
        <v>44983</v>
      </c>
      <c r="H136" s="1" t="s">
        <v>70</v>
      </c>
      <c r="I136" s="1">
        <v>34</v>
      </c>
      <c r="J136" s="1">
        <v>36894</v>
      </c>
      <c r="K136" s="1">
        <v>1254396</v>
      </c>
    </row>
    <row r="137" spans="1:11" x14ac:dyDescent="0.3">
      <c r="A137" s="1">
        <v>136</v>
      </c>
      <c r="B137" s="1" t="s">
        <v>15</v>
      </c>
      <c r="C137" s="1" t="s">
        <v>17</v>
      </c>
      <c r="D137" s="1" t="s">
        <v>23</v>
      </c>
      <c r="E137" s="1" t="s">
        <v>38</v>
      </c>
      <c r="F137" s="1" t="s">
        <v>53</v>
      </c>
      <c r="G137" s="2">
        <v>45049</v>
      </c>
      <c r="H137" s="1" t="s">
        <v>61</v>
      </c>
      <c r="I137" s="1">
        <v>1</v>
      </c>
      <c r="J137" s="1">
        <v>20117</v>
      </c>
      <c r="K137" s="1">
        <v>20117</v>
      </c>
    </row>
    <row r="138" spans="1:11" x14ac:dyDescent="0.3">
      <c r="A138" s="1">
        <v>137</v>
      </c>
      <c r="B138" s="1" t="s">
        <v>11</v>
      </c>
      <c r="C138" s="1" t="s">
        <v>16</v>
      </c>
      <c r="D138" s="1" t="s">
        <v>30</v>
      </c>
      <c r="E138" s="1" t="s">
        <v>35</v>
      </c>
      <c r="F138" s="1" t="s">
        <v>54</v>
      </c>
      <c r="G138" s="2">
        <v>45280</v>
      </c>
      <c r="H138" s="1" t="s">
        <v>69</v>
      </c>
      <c r="I138" s="1">
        <v>10</v>
      </c>
      <c r="J138" s="1">
        <v>41957</v>
      </c>
      <c r="K138" s="1">
        <v>419570</v>
      </c>
    </row>
    <row r="139" spans="1:11" x14ac:dyDescent="0.3">
      <c r="A139" s="1">
        <v>138</v>
      </c>
      <c r="B139" s="1" t="s">
        <v>13</v>
      </c>
      <c r="C139" s="1" t="s">
        <v>16</v>
      </c>
      <c r="D139" s="1" t="s">
        <v>25</v>
      </c>
      <c r="E139" s="1" t="s">
        <v>37</v>
      </c>
      <c r="F139" s="1" t="s">
        <v>42</v>
      </c>
      <c r="G139" s="2">
        <v>45003</v>
      </c>
      <c r="H139" s="1" t="s">
        <v>65</v>
      </c>
      <c r="I139" s="1">
        <v>42</v>
      </c>
      <c r="J139" s="1">
        <v>34912</v>
      </c>
      <c r="K139" s="1">
        <v>1466304</v>
      </c>
    </row>
    <row r="140" spans="1:11" x14ac:dyDescent="0.3">
      <c r="A140" s="1">
        <v>139</v>
      </c>
      <c r="B140" s="1" t="s">
        <v>14</v>
      </c>
      <c r="C140" s="1" t="s">
        <v>18</v>
      </c>
      <c r="D140" s="1" t="s">
        <v>28</v>
      </c>
      <c r="E140" s="1" t="s">
        <v>39</v>
      </c>
      <c r="F140" s="1" t="s">
        <v>59</v>
      </c>
      <c r="G140" s="2">
        <v>45207</v>
      </c>
      <c r="H140" s="1" t="s">
        <v>63</v>
      </c>
      <c r="I140" s="1">
        <v>47</v>
      </c>
      <c r="J140" s="1">
        <v>2897</v>
      </c>
      <c r="K140" s="1">
        <v>136159</v>
      </c>
    </row>
    <row r="141" spans="1:11" x14ac:dyDescent="0.3">
      <c r="A141" s="1">
        <v>140</v>
      </c>
      <c r="B141" s="1" t="s">
        <v>12</v>
      </c>
      <c r="C141" s="1" t="s">
        <v>18</v>
      </c>
      <c r="D141" s="1" t="s">
        <v>22</v>
      </c>
      <c r="E141" s="1" t="s">
        <v>38</v>
      </c>
      <c r="F141" s="1" t="s">
        <v>58</v>
      </c>
      <c r="G141" s="2">
        <v>45152</v>
      </c>
      <c r="H141" s="1" t="s">
        <v>72</v>
      </c>
      <c r="I141" s="1">
        <v>11</v>
      </c>
      <c r="J141" s="1">
        <v>17908</v>
      </c>
      <c r="K141" s="1">
        <v>196988</v>
      </c>
    </row>
    <row r="142" spans="1:11" x14ac:dyDescent="0.3">
      <c r="A142" s="1">
        <v>141</v>
      </c>
      <c r="B142" s="1" t="s">
        <v>11</v>
      </c>
      <c r="C142" s="1" t="s">
        <v>16</v>
      </c>
      <c r="D142" s="1" t="s">
        <v>32</v>
      </c>
      <c r="E142" s="1" t="s">
        <v>36</v>
      </c>
      <c r="F142" s="1" t="s">
        <v>59</v>
      </c>
      <c r="G142" s="2">
        <v>45047</v>
      </c>
      <c r="H142" s="1" t="s">
        <v>61</v>
      </c>
      <c r="I142" s="1">
        <v>30</v>
      </c>
      <c r="J142" s="1">
        <v>43650</v>
      </c>
      <c r="K142" s="1">
        <v>1309500</v>
      </c>
    </row>
    <row r="143" spans="1:11" x14ac:dyDescent="0.3">
      <c r="A143" s="1">
        <v>142</v>
      </c>
      <c r="B143" s="1" t="s">
        <v>12</v>
      </c>
      <c r="C143" s="1" t="s">
        <v>18</v>
      </c>
      <c r="D143" s="1" t="s">
        <v>29</v>
      </c>
      <c r="E143" s="1" t="s">
        <v>37</v>
      </c>
      <c r="F143" s="1" t="s">
        <v>55</v>
      </c>
      <c r="G143" s="2">
        <v>45278</v>
      </c>
      <c r="H143" s="1" t="s">
        <v>69</v>
      </c>
      <c r="I143" s="1">
        <v>30</v>
      </c>
      <c r="J143" s="1">
        <v>12118</v>
      </c>
      <c r="K143" s="1">
        <v>363540</v>
      </c>
    </row>
    <row r="144" spans="1:11" x14ac:dyDescent="0.3">
      <c r="A144" s="1">
        <v>143</v>
      </c>
      <c r="B144" s="1" t="s">
        <v>12</v>
      </c>
      <c r="C144" s="1" t="s">
        <v>18</v>
      </c>
      <c r="D144" s="1" t="s">
        <v>31</v>
      </c>
      <c r="E144" s="1" t="s">
        <v>35</v>
      </c>
      <c r="F144" s="1" t="s">
        <v>53</v>
      </c>
      <c r="G144" s="2">
        <v>45047</v>
      </c>
      <c r="H144" s="1" t="s">
        <v>61</v>
      </c>
      <c r="I144" s="1">
        <v>6</v>
      </c>
      <c r="J144" s="1">
        <v>33699</v>
      </c>
      <c r="K144" s="1">
        <v>202194</v>
      </c>
    </row>
    <row r="145" spans="1:11" x14ac:dyDescent="0.3">
      <c r="A145" s="1">
        <v>144</v>
      </c>
      <c r="B145" s="1" t="s">
        <v>12</v>
      </c>
      <c r="C145" s="1" t="s">
        <v>18</v>
      </c>
      <c r="D145" s="1" t="s">
        <v>27</v>
      </c>
      <c r="E145" s="1" t="s">
        <v>38</v>
      </c>
      <c r="F145" s="1" t="s">
        <v>43</v>
      </c>
      <c r="G145" s="2">
        <v>45100</v>
      </c>
      <c r="H145" s="1" t="s">
        <v>71</v>
      </c>
      <c r="I145" s="1">
        <v>6</v>
      </c>
      <c r="J145" s="1">
        <v>43558</v>
      </c>
      <c r="K145" s="1">
        <v>261348</v>
      </c>
    </row>
    <row r="146" spans="1:11" x14ac:dyDescent="0.3">
      <c r="A146" s="1">
        <v>145</v>
      </c>
      <c r="B146" s="1" t="s">
        <v>11</v>
      </c>
      <c r="C146" s="1" t="s">
        <v>16</v>
      </c>
      <c r="D146" s="1" t="s">
        <v>21</v>
      </c>
      <c r="E146" s="1" t="s">
        <v>36</v>
      </c>
      <c r="F146" s="1" t="s">
        <v>51</v>
      </c>
      <c r="G146" s="2">
        <v>45053</v>
      </c>
      <c r="H146" s="1" t="s">
        <v>61</v>
      </c>
      <c r="I146" s="1">
        <v>31</v>
      </c>
      <c r="J146" s="1">
        <v>39853</v>
      </c>
      <c r="K146" s="1">
        <v>1235443</v>
      </c>
    </row>
    <row r="147" spans="1:11" x14ac:dyDescent="0.3">
      <c r="A147" s="1">
        <v>146</v>
      </c>
      <c r="B147" s="1" t="s">
        <v>13</v>
      </c>
      <c r="C147" s="1" t="s">
        <v>18</v>
      </c>
      <c r="D147" s="1" t="s">
        <v>28</v>
      </c>
      <c r="E147" s="1" t="s">
        <v>39</v>
      </c>
      <c r="F147" s="1" t="s">
        <v>58</v>
      </c>
      <c r="G147" s="2">
        <v>45261</v>
      </c>
      <c r="H147" s="1" t="s">
        <v>69</v>
      </c>
      <c r="I147" s="1">
        <v>49</v>
      </c>
      <c r="J147" s="1">
        <v>38240</v>
      </c>
      <c r="K147" s="1">
        <v>1873760</v>
      </c>
    </row>
    <row r="148" spans="1:11" x14ac:dyDescent="0.3">
      <c r="A148" s="1">
        <v>147</v>
      </c>
      <c r="B148" s="1" t="s">
        <v>14</v>
      </c>
      <c r="C148" s="1" t="s">
        <v>18</v>
      </c>
      <c r="D148" s="1" t="s">
        <v>22</v>
      </c>
      <c r="E148" s="1" t="s">
        <v>39</v>
      </c>
      <c r="F148" s="1" t="s">
        <v>43</v>
      </c>
      <c r="G148" s="2">
        <v>45220</v>
      </c>
      <c r="H148" s="1" t="s">
        <v>63</v>
      </c>
      <c r="I148" s="1">
        <v>24</v>
      </c>
      <c r="J148" s="1">
        <v>13843</v>
      </c>
      <c r="K148" s="1">
        <v>332232</v>
      </c>
    </row>
    <row r="149" spans="1:11" x14ac:dyDescent="0.3">
      <c r="A149" s="1">
        <v>148</v>
      </c>
      <c r="B149" s="1" t="s">
        <v>11</v>
      </c>
      <c r="C149" s="1" t="s">
        <v>18</v>
      </c>
      <c r="D149" s="1" t="s">
        <v>33</v>
      </c>
      <c r="E149" s="1" t="s">
        <v>38</v>
      </c>
      <c r="F149" s="1" t="s">
        <v>46</v>
      </c>
      <c r="G149" s="2">
        <v>45246</v>
      </c>
      <c r="H149" s="1" t="s">
        <v>62</v>
      </c>
      <c r="I149" s="1">
        <v>10</v>
      </c>
      <c r="J149" s="1">
        <v>48098</v>
      </c>
      <c r="K149" s="1">
        <v>480980</v>
      </c>
    </row>
    <row r="150" spans="1:11" x14ac:dyDescent="0.3">
      <c r="A150" s="1">
        <v>149</v>
      </c>
      <c r="B150" s="1" t="s">
        <v>12</v>
      </c>
      <c r="C150" s="1" t="s">
        <v>17</v>
      </c>
      <c r="D150" s="1" t="s">
        <v>31</v>
      </c>
      <c r="E150" s="1" t="s">
        <v>38</v>
      </c>
      <c r="F150" s="1" t="s">
        <v>58</v>
      </c>
      <c r="G150" s="2">
        <v>44995</v>
      </c>
      <c r="H150" s="1" t="s">
        <v>65</v>
      </c>
      <c r="I150" s="1">
        <v>18</v>
      </c>
      <c r="J150" s="1">
        <v>17809</v>
      </c>
      <c r="K150" s="1">
        <v>320562</v>
      </c>
    </row>
    <row r="151" spans="1:11" x14ac:dyDescent="0.3">
      <c r="A151" s="1">
        <v>150</v>
      </c>
      <c r="B151" s="1" t="s">
        <v>12</v>
      </c>
      <c r="C151" s="1" t="s">
        <v>18</v>
      </c>
      <c r="D151" s="1" t="s">
        <v>26</v>
      </c>
      <c r="E151" s="1" t="s">
        <v>36</v>
      </c>
      <c r="F151" s="1" t="s">
        <v>51</v>
      </c>
      <c r="G151" s="2">
        <v>44939</v>
      </c>
      <c r="H151" s="1" t="s">
        <v>68</v>
      </c>
      <c r="I151" s="1">
        <v>32</v>
      </c>
      <c r="J151" s="1">
        <v>2848</v>
      </c>
      <c r="K151" s="1">
        <v>91136</v>
      </c>
    </row>
    <row r="152" spans="1:11" x14ac:dyDescent="0.3">
      <c r="A152" s="1">
        <v>151</v>
      </c>
      <c r="B152" s="1" t="s">
        <v>12</v>
      </c>
      <c r="C152" s="1" t="s">
        <v>17</v>
      </c>
      <c r="D152" s="1" t="s">
        <v>19</v>
      </c>
      <c r="E152" s="1" t="s">
        <v>37</v>
      </c>
      <c r="F152" s="1" t="s">
        <v>51</v>
      </c>
      <c r="G152" s="2">
        <v>45012</v>
      </c>
      <c r="H152" s="1" t="s">
        <v>65</v>
      </c>
      <c r="I152" s="1">
        <v>18</v>
      </c>
      <c r="J152" s="1">
        <v>43244</v>
      </c>
      <c r="K152" s="1">
        <v>778392</v>
      </c>
    </row>
    <row r="153" spans="1:11" x14ac:dyDescent="0.3">
      <c r="A153" s="1">
        <v>152</v>
      </c>
      <c r="B153" s="1" t="s">
        <v>14</v>
      </c>
      <c r="C153" s="1" t="s">
        <v>18</v>
      </c>
      <c r="D153" s="1" t="s">
        <v>27</v>
      </c>
      <c r="E153" s="1" t="s">
        <v>39</v>
      </c>
      <c r="F153" s="1" t="s">
        <v>48</v>
      </c>
      <c r="G153" s="2">
        <v>45094</v>
      </c>
      <c r="H153" s="1" t="s">
        <v>71</v>
      </c>
      <c r="I153" s="1">
        <v>13</v>
      </c>
      <c r="J153" s="1">
        <v>29241</v>
      </c>
      <c r="K153" s="1">
        <v>380133</v>
      </c>
    </row>
    <row r="154" spans="1:11" x14ac:dyDescent="0.3">
      <c r="A154" s="1">
        <v>153</v>
      </c>
      <c r="B154" s="1" t="s">
        <v>14</v>
      </c>
      <c r="C154" s="1" t="s">
        <v>17</v>
      </c>
      <c r="D154" s="1" t="s">
        <v>22</v>
      </c>
      <c r="E154" s="1" t="s">
        <v>38</v>
      </c>
      <c r="F154" s="1" t="s">
        <v>47</v>
      </c>
      <c r="G154" s="2">
        <v>45066</v>
      </c>
      <c r="H154" s="1" t="s">
        <v>61</v>
      </c>
      <c r="I154" s="1">
        <v>50</v>
      </c>
      <c r="J154" s="1">
        <v>46329</v>
      </c>
      <c r="K154" s="1">
        <v>2316450</v>
      </c>
    </row>
    <row r="155" spans="1:11" x14ac:dyDescent="0.3">
      <c r="A155" s="1">
        <v>154</v>
      </c>
      <c r="B155" s="1" t="s">
        <v>15</v>
      </c>
      <c r="C155" s="1" t="s">
        <v>16</v>
      </c>
      <c r="D155" s="1" t="s">
        <v>23</v>
      </c>
      <c r="E155" s="1" t="s">
        <v>35</v>
      </c>
      <c r="F155" s="1" t="s">
        <v>43</v>
      </c>
      <c r="G155" s="2">
        <v>45209</v>
      </c>
      <c r="H155" s="1" t="s">
        <v>63</v>
      </c>
      <c r="I155" s="1">
        <v>13</v>
      </c>
      <c r="J155" s="1">
        <v>23475</v>
      </c>
      <c r="K155" s="1">
        <v>305175</v>
      </c>
    </row>
    <row r="156" spans="1:11" x14ac:dyDescent="0.3">
      <c r="A156" s="1">
        <v>155</v>
      </c>
      <c r="B156" s="1" t="s">
        <v>13</v>
      </c>
      <c r="C156" s="1" t="s">
        <v>16</v>
      </c>
      <c r="D156" s="1" t="s">
        <v>29</v>
      </c>
      <c r="E156" s="1" t="s">
        <v>36</v>
      </c>
      <c r="F156" s="1" t="s">
        <v>43</v>
      </c>
      <c r="G156" s="2">
        <v>45102</v>
      </c>
      <c r="H156" s="1" t="s">
        <v>71</v>
      </c>
      <c r="I156" s="1">
        <v>28</v>
      </c>
      <c r="J156" s="1">
        <v>24082</v>
      </c>
      <c r="K156" s="1">
        <v>674296</v>
      </c>
    </row>
    <row r="157" spans="1:11" x14ac:dyDescent="0.3">
      <c r="A157" s="1">
        <v>156</v>
      </c>
      <c r="B157" s="1" t="s">
        <v>12</v>
      </c>
      <c r="C157" s="1" t="s">
        <v>16</v>
      </c>
      <c r="D157" s="1" t="s">
        <v>21</v>
      </c>
      <c r="E157" s="1" t="s">
        <v>39</v>
      </c>
      <c r="F157" s="1" t="s">
        <v>43</v>
      </c>
      <c r="G157" s="2">
        <v>45140</v>
      </c>
      <c r="H157" s="1" t="s">
        <v>72</v>
      </c>
      <c r="I157" s="1">
        <v>10</v>
      </c>
      <c r="J157" s="1">
        <v>49220</v>
      </c>
      <c r="K157" s="1">
        <v>492200</v>
      </c>
    </row>
    <row r="158" spans="1:11" x14ac:dyDescent="0.3">
      <c r="A158" s="1">
        <v>157</v>
      </c>
      <c r="B158" s="1" t="s">
        <v>15</v>
      </c>
      <c r="C158" s="1" t="s">
        <v>18</v>
      </c>
      <c r="D158" s="1" t="s">
        <v>22</v>
      </c>
      <c r="E158" s="1" t="s">
        <v>35</v>
      </c>
      <c r="F158" s="1" t="s">
        <v>52</v>
      </c>
      <c r="G158" s="2">
        <v>45112</v>
      </c>
      <c r="H158" s="1" t="s">
        <v>64</v>
      </c>
      <c r="I158" s="1">
        <v>46</v>
      </c>
      <c r="J158" s="1">
        <v>48792</v>
      </c>
      <c r="K158" s="1">
        <v>2244432</v>
      </c>
    </row>
    <row r="159" spans="1:11" x14ac:dyDescent="0.3">
      <c r="A159" s="1">
        <v>158</v>
      </c>
      <c r="B159" s="1" t="s">
        <v>11</v>
      </c>
      <c r="C159" s="1" t="s">
        <v>18</v>
      </c>
      <c r="D159" s="1" t="s">
        <v>19</v>
      </c>
      <c r="E159" s="1" t="s">
        <v>38</v>
      </c>
      <c r="F159" s="1" t="s">
        <v>46</v>
      </c>
      <c r="G159" s="2">
        <v>45267</v>
      </c>
      <c r="H159" s="1" t="s">
        <v>69</v>
      </c>
      <c r="I159" s="1">
        <v>33</v>
      </c>
      <c r="J159" s="1">
        <v>48619</v>
      </c>
      <c r="K159" s="1">
        <v>1604427</v>
      </c>
    </row>
    <row r="160" spans="1:11" x14ac:dyDescent="0.3">
      <c r="A160" s="1">
        <v>159</v>
      </c>
      <c r="B160" s="1" t="s">
        <v>12</v>
      </c>
      <c r="C160" s="1" t="s">
        <v>16</v>
      </c>
      <c r="D160" s="1" t="s">
        <v>30</v>
      </c>
      <c r="E160" s="1" t="s">
        <v>38</v>
      </c>
      <c r="F160" s="1" t="s">
        <v>54</v>
      </c>
      <c r="G160" s="2">
        <v>45264</v>
      </c>
      <c r="H160" s="1" t="s">
        <v>69</v>
      </c>
      <c r="I160" s="1">
        <v>7</v>
      </c>
      <c r="J160" s="1">
        <v>34381</v>
      </c>
      <c r="K160" s="1">
        <v>240667</v>
      </c>
    </row>
    <row r="161" spans="1:11" x14ac:dyDescent="0.3">
      <c r="A161" s="1">
        <v>160</v>
      </c>
      <c r="B161" s="1" t="s">
        <v>11</v>
      </c>
      <c r="C161" s="1" t="s">
        <v>16</v>
      </c>
      <c r="D161" s="1" t="s">
        <v>33</v>
      </c>
      <c r="E161" s="1" t="s">
        <v>40</v>
      </c>
      <c r="F161" s="1" t="s">
        <v>57</v>
      </c>
      <c r="G161" s="2">
        <v>44984</v>
      </c>
      <c r="H161" s="1" t="s">
        <v>70</v>
      </c>
      <c r="I161" s="1">
        <v>25</v>
      </c>
      <c r="J161" s="1">
        <v>15597</v>
      </c>
      <c r="K161" s="1">
        <v>389925</v>
      </c>
    </row>
    <row r="162" spans="1:11" x14ac:dyDescent="0.3">
      <c r="A162" s="1">
        <v>161</v>
      </c>
      <c r="B162" s="1" t="s">
        <v>14</v>
      </c>
      <c r="C162" s="1" t="s">
        <v>16</v>
      </c>
      <c r="D162" s="1" t="s">
        <v>25</v>
      </c>
      <c r="E162" s="1" t="s">
        <v>39</v>
      </c>
      <c r="F162" s="1" t="s">
        <v>49</v>
      </c>
      <c r="G162" s="2">
        <v>45009</v>
      </c>
      <c r="H162" s="1" t="s">
        <v>65</v>
      </c>
      <c r="I162" s="1">
        <v>6</v>
      </c>
      <c r="J162" s="1">
        <v>38356</v>
      </c>
      <c r="K162" s="1">
        <v>230136</v>
      </c>
    </row>
    <row r="163" spans="1:11" x14ac:dyDescent="0.3">
      <c r="A163" s="1">
        <v>162</v>
      </c>
      <c r="B163" s="1" t="s">
        <v>15</v>
      </c>
      <c r="C163" s="1" t="s">
        <v>16</v>
      </c>
      <c r="D163" s="1" t="s">
        <v>19</v>
      </c>
      <c r="E163" s="1" t="s">
        <v>37</v>
      </c>
      <c r="F163" s="1" t="s">
        <v>51</v>
      </c>
      <c r="G163" s="2">
        <v>45194</v>
      </c>
      <c r="H163" s="1" t="s">
        <v>66</v>
      </c>
      <c r="I163" s="1">
        <v>19</v>
      </c>
      <c r="J163" s="1">
        <v>10644</v>
      </c>
      <c r="K163" s="1">
        <v>202236</v>
      </c>
    </row>
    <row r="164" spans="1:11" x14ac:dyDescent="0.3">
      <c r="A164" s="1">
        <v>163</v>
      </c>
      <c r="B164" s="1" t="s">
        <v>13</v>
      </c>
      <c r="C164" s="1" t="s">
        <v>17</v>
      </c>
      <c r="D164" s="1" t="s">
        <v>24</v>
      </c>
      <c r="E164" s="1" t="s">
        <v>36</v>
      </c>
      <c r="F164" s="1" t="s">
        <v>50</v>
      </c>
      <c r="G164" s="2">
        <v>45010</v>
      </c>
      <c r="H164" s="1" t="s">
        <v>65</v>
      </c>
      <c r="I164" s="1">
        <v>22</v>
      </c>
      <c r="J164" s="1">
        <v>8653</v>
      </c>
      <c r="K164" s="1">
        <v>190366</v>
      </c>
    </row>
    <row r="165" spans="1:11" x14ac:dyDescent="0.3">
      <c r="A165" s="1">
        <v>164</v>
      </c>
      <c r="B165" s="1" t="s">
        <v>11</v>
      </c>
      <c r="C165" s="1" t="s">
        <v>18</v>
      </c>
      <c r="D165" s="1" t="s">
        <v>24</v>
      </c>
      <c r="E165" s="1" t="s">
        <v>38</v>
      </c>
      <c r="F165" s="1" t="s">
        <v>52</v>
      </c>
      <c r="G165" s="2">
        <v>45187</v>
      </c>
      <c r="H165" s="1" t="s">
        <v>66</v>
      </c>
      <c r="I165" s="1">
        <v>41</v>
      </c>
      <c r="J165" s="1">
        <v>41703</v>
      </c>
      <c r="K165" s="1">
        <v>1709823</v>
      </c>
    </row>
    <row r="166" spans="1:11" x14ac:dyDescent="0.3">
      <c r="A166" s="1">
        <v>165</v>
      </c>
      <c r="B166" s="1" t="s">
        <v>14</v>
      </c>
      <c r="C166" s="1" t="s">
        <v>18</v>
      </c>
      <c r="D166" s="1" t="s">
        <v>22</v>
      </c>
      <c r="E166" s="1" t="s">
        <v>38</v>
      </c>
      <c r="F166" s="1" t="s">
        <v>52</v>
      </c>
      <c r="G166" s="2">
        <v>45163</v>
      </c>
      <c r="H166" s="1" t="s">
        <v>72</v>
      </c>
      <c r="I166" s="1">
        <v>4</v>
      </c>
      <c r="J166" s="1">
        <v>8813</v>
      </c>
      <c r="K166" s="1">
        <v>35252</v>
      </c>
    </row>
    <row r="167" spans="1:11" x14ac:dyDescent="0.3">
      <c r="A167" s="1">
        <v>166</v>
      </c>
      <c r="B167" s="1" t="s">
        <v>15</v>
      </c>
      <c r="C167" s="1" t="s">
        <v>16</v>
      </c>
      <c r="D167" s="1" t="s">
        <v>25</v>
      </c>
      <c r="E167" s="1" t="s">
        <v>35</v>
      </c>
      <c r="F167" s="1" t="s">
        <v>52</v>
      </c>
      <c r="G167" s="2">
        <v>45209</v>
      </c>
      <c r="H167" s="1" t="s">
        <v>63</v>
      </c>
      <c r="I167" s="1">
        <v>12</v>
      </c>
      <c r="J167" s="1">
        <v>20075</v>
      </c>
      <c r="K167" s="1">
        <v>240900</v>
      </c>
    </row>
    <row r="168" spans="1:11" x14ac:dyDescent="0.3">
      <c r="A168" s="1">
        <v>167</v>
      </c>
      <c r="B168" s="1" t="s">
        <v>15</v>
      </c>
      <c r="C168" s="1" t="s">
        <v>18</v>
      </c>
      <c r="D168" s="1" t="s">
        <v>33</v>
      </c>
      <c r="E168" s="1" t="s">
        <v>38</v>
      </c>
      <c r="F168" s="1" t="s">
        <v>60</v>
      </c>
      <c r="G168" s="2">
        <v>44992</v>
      </c>
      <c r="H168" s="1" t="s">
        <v>65</v>
      </c>
      <c r="I168" s="1">
        <v>48</v>
      </c>
      <c r="J168" s="1">
        <v>20330</v>
      </c>
      <c r="K168" s="1">
        <v>975840</v>
      </c>
    </row>
    <row r="169" spans="1:11" x14ac:dyDescent="0.3">
      <c r="A169" s="1">
        <v>168</v>
      </c>
      <c r="B169" s="1" t="s">
        <v>11</v>
      </c>
      <c r="C169" s="1" t="s">
        <v>17</v>
      </c>
      <c r="D169" s="1" t="s">
        <v>28</v>
      </c>
      <c r="E169" s="1" t="s">
        <v>40</v>
      </c>
      <c r="F169" s="1" t="s">
        <v>45</v>
      </c>
      <c r="G169" s="2">
        <v>45132</v>
      </c>
      <c r="H169" s="1" t="s">
        <v>64</v>
      </c>
      <c r="I169" s="1">
        <v>37</v>
      </c>
      <c r="J169" s="1">
        <v>32576</v>
      </c>
      <c r="K169" s="1">
        <v>1205312</v>
      </c>
    </row>
    <row r="170" spans="1:11" x14ac:dyDescent="0.3">
      <c r="A170" s="1">
        <v>169</v>
      </c>
      <c r="B170" s="1" t="s">
        <v>13</v>
      </c>
      <c r="C170" s="1" t="s">
        <v>16</v>
      </c>
      <c r="D170" s="1" t="s">
        <v>27</v>
      </c>
      <c r="E170" s="1" t="s">
        <v>36</v>
      </c>
      <c r="F170" s="1" t="s">
        <v>47</v>
      </c>
      <c r="G170" s="2">
        <v>44963</v>
      </c>
      <c r="H170" s="1" t="s">
        <v>70</v>
      </c>
      <c r="I170" s="1">
        <v>40</v>
      </c>
      <c r="J170" s="1">
        <v>43206</v>
      </c>
      <c r="K170" s="1">
        <v>1728240</v>
      </c>
    </row>
    <row r="171" spans="1:11" x14ac:dyDescent="0.3">
      <c r="A171" s="1">
        <v>170</v>
      </c>
      <c r="B171" s="1" t="s">
        <v>11</v>
      </c>
      <c r="C171" s="1" t="s">
        <v>18</v>
      </c>
      <c r="D171" s="1" t="s">
        <v>24</v>
      </c>
      <c r="E171" s="1" t="s">
        <v>40</v>
      </c>
      <c r="F171" s="1" t="s">
        <v>50</v>
      </c>
      <c r="G171" s="2">
        <v>45209</v>
      </c>
      <c r="H171" s="1" t="s">
        <v>63</v>
      </c>
      <c r="I171" s="1">
        <v>37</v>
      </c>
      <c r="J171" s="1">
        <v>48550</v>
      </c>
      <c r="K171" s="1">
        <v>1796350</v>
      </c>
    </row>
    <row r="172" spans="1:11" x14ac:dyDescent="0.3">
      <c r="A172" s="1">
        <v>171</v>
      </c>
      <c r="B172" s="1" t="s">
        <v>11</v>
      </c>
      <c r="C172" s="1" t="s">
        <v>17</v>
      </c>
      <c r="D172" s="1" t="s">
        <v>31</v>
      </c>
      <c r="E172" s="1" t="s">
        <v>40</v>
      </c>
      <c r="F172" s="1" t="s">
        <v>44</v>
      </c>
      <c r="G172" s="2">
        <v>45188</v>
      </c>
      <c r="H172" s="1" t="s">
        <v>66</v>
      </c>
      <c r="I172" s="1">
        <v>44</v>
      </c>
      <c r="J172" s="1">
        <v>45549</v>
      </c>
      <c r="K172" s="1">
        <v>2004156</v>
      </c>
    </row>
    <row r="173" spans="1:11" x14ac:dyDescent="0.3">
      <c r="A173" s="1">
        <v>172</v>
      </c>
      <c r="B173" s="1" t="s">
        <v>13</v>
      </c>
      <c r="C173" s="1" t="s">
        <v>18</v>
      </c>
      <c r="D173" s="1" t="s">
        <v>32</v>
      </c>
      <c r="E173" s="1" t="s">
        <v>39</v>
      </c>
      <c r="F173" s="1" t="s">
        <v>60</v>
      </c>
      <c r="G173" s="2">
        <v>45278</v>
      </c>
      <c r="H173" s="1" t="s">
        <v>69</v>
      </c>
      <c r="I173" s="1">
        <v>33</v>
      </c>
      <c r="J173" s="1">
        <v>33870</v>
      </c>
      <c r="K173" s="1">
        <v>1117710</v>
      </c>
    </row>
    <row r="174" spans="1:11" x14ac:dyDescent="0.3">
      <c r="A174" s="1">
        <v>173</v>
      </c>
      <c r="B174" s="1" t="s">
        <v>15</v>
      </c>
      <c r="C174" s="1" t="s">
        <v>18</v>
      </c>
      <c r="D174" s="1" t="s">
        <v>22</v>
      </c>
      <c r="E174" s="1" t="s">
        <v>36</v>
      </c>
      <c r="F174" s="1" t="s">
        <v>43</v>
      </c>
      <c r="G174" s="2">
        <v>45056</v>
      </c>
      <c r="H174" s="1" t="s">
        <v>61</v>
      </c>
      <c r="I174" s="1">
        <v>34</v>
      </c>
      <c r="J174" s="1">
        <v>3740</v>
      </c>
      <c r="K174" s="1">
        <v>127160</v>
      </c>
    </row>
    <row r="175" spans="1:11" x14ac:dyDescent="0.3">
      <c r="A175" s="1">
        <v>174</v>
      </c>
      <c r="B175" s="1" t="s">
        <v>14</v>
      </c>
      <c r="C175" s="1" t="s">
        <v>16</v>
      </c>
      <c r="D175" s="1" t="s">
        <v>20</v>
      </c>
      <c r="E175" s="1" t="s">
        <v>40</v>
      </c>
      <c r="F175" s="1" t="s">
        <v>58</v>
      </c>
      <c r="G175" s="2">
        <v>45208</v>
      </c>
      <c r="H175" s="1" t="s">
        <v>63</v>
      </c>
      <c r="I175" s="1">
        <v>39</v>
      </c>
      <c r="J175" s="1">
        <v>48714</v>
      </c>
      <c r="K175" s="1">
        <v>1899846</v>
      </c>
    </row>
    <row r="176" spans="1:11" x14ac:dyDescent="0.3">
      <c r="A176" s="1">
        <v>175</v>
      </c>
      <c r="B176" s="1" t="s">
        <v>11</v>
      </c>
      <c r="C176" s="1" t="s">
        <v>18</v>
      </c>
      <c r="D176" s="1" t="s">
        <v>30</v>
      </c>
      <c r="E176" s="1" t="s">
        <v>36</v>
      </c>
      <c r="F176" s="1" t="s">
        <v>49</v>
      </c>
      <c r="G176" s="2">
        <v>44966</v>
      </c>
      <c r="H176" s="1" t="s">
        <v>70</v>
      </c>
      <c r="I176" s="1">
        <v>16</v>
      </c>
      <c r="J176" s="1">
        <v>1076</v>
      </c>
      <c r="K176" s="1">
        <v>17216</v>
      </c>
    </row>
    <row r="177" spans="1:11" x14ac:dyDescent="0.3">
      <c r="A177" s="1">
        <v>176</v>
      </c>
      <c r="B177" s="1" t="s">
        <v>12</v>
      </c>
      <c r="C177" s="1" t="s">
        <v>17</v>
      </c>
      <c r="D177" s="1" t="s">
        <v>31</v>
      </c>
      <c r="E177" s="1" t="s">
        <v>38</v>
      </c>
      <c r="F177" s="1" t="s">
        <v>44</v>
      </c>
      <c r="G177" s="2">
        <v>45074</v>
      </c>
      <c r="H177" s="1" t="s">
        <v>61</v>
      </c>
      <c r="I177" s="1">
        <v>14</v>
      </c>
      <c r="J177" s="1">
        <v>48208</v>
      </c>
      <c r="K177" s="1">
        <v>674912</v>
      </c>
    </row>
    <row r="178" spans="1:11" x14ac:dyDescent="0.3">
      <c r="A178" s="1">
        <v>177</v>
      </c>
      <c r="B178" s="1" t="s">
        <v>15</v>
      </c>
      <c r="C178" s="1" t="s">
        <v>17</v>
      </c>
      <c r="D178" s="1" t="s">
        <v>34</v>
      </c>
      <c r="E178" s="1" t="s">
        <v>35</v>
      </c>
      <c r="F178" s="1" t="s">
        <v>58</v>
      </c>
      <c r="G178" s="2">
        <v>45025</v>
      </c>
      <c r="H178" s="1" t="s">
        <v>67</v>
      </c>
      <c r="I178" s="1">
        <v>17</v>
      </c>
      <c r="J178" s="1">
        <v>12201</v>
      </c>
      <c r="K178" s="1">
        <v>207417</v>
      </c>
    </row>
    <row r="179" spans="1:11" x14ac:dyDescent="0.3">
      <c r="A179" s="1">
        <v>178</v>
      </c>
      <c r="B179" s="1" t="s">
        <v>14</v>
      </c>
      <c r="C179" s="1" t="s">
        <v>16</v>
      </c>
      <c r="D179" s="1" t="s">
        <v>31</v>
      </c>
      <c r="E179" s="1" t="s">
        <v>35</v>
      </c>
      <c r="F179" s="1" t="s">
        <v>41</v>
      </c>
      <c r="G179" s="2">
        <v>44996</v>
      </c>
      <c r="H179" s="1" t="s">
        <v>65</v>
      </c>
      <c r="I179" s="1">
        <v>50</v>
      </c>
      <c r="J179" s="1">
        <v>9512</v>
      </c>
      <c r="K179" s="1">
        <v>475600</v>
      </c>
    </row>
    <row r="180" spans="1:11" x14ac:dyDescent="0.3">
      <c r="A180" s="1">
        <v>179</v>
      </c>
      <c r="B180" s="1" t="s">
        <v>12</v>
      </c>
      <c r="C180" s="1" t="s">
        <v>18</v>
      </c>
      <c r="D180" s="1" t="s">
        <v>33</v>
      </c>
      <c r="E180" s="1" t="s">
        <v>38</v>
      </c>
      <c r="F180" s="1" t="s">
        <v>49</v>
      </c>
      <c r="G180" s="2">
        <v>44984</v>
      </c>
      <c r="H180" s="1" t="s">
        <v>70</v>
      </c>
      <c r="I180" s="1">
        <v>29</v>
      </c>
      <c r="J180" s="1">
        <v>25272</v>
      </c>
      <c r="K180" s="1">
        <v>732888</v>
      </c>
    </row>
    <row r="181" spans="1:11" x14ac:dyDescent="0.3">
      <c r="A181" s="1">
        <v>180</v>
      </c>
      <c r="B181" s="1" t="s">
        <v>11</v>
      </c>
      <c r="C181" s="1" t="s">
        <v>18</v>
      </c>
      <c r="D181" s="1" t="s">
        <v>33</v>
      </c>
      <c r="E181" s="1" t="s">
        <v>36</v>
      </c>
      <c r="F181" s="1" t="s">
        <v>45</v>
      </c>
      <c r="G181" s="2">
        <v>45085</v>
      </c>
      <c r="H181" s="1" t="s">
        <v>71</v>
      </c>
      <c r="I181" s="1">
        <v>18</v>
      </c>
      <c r="J181" s="1">
        <v>47875</v>
      </c>
      <c r="K181" s="1">
        <v>861750</v>
      </c>
    </row>
    <row r="182" spans="1:11" x14ac:dyDescent="0.3">
      <c r="A182" s="1">
        <v>181</v>
      </c>
      <c r="B182" s="1" t="s">
        <v>12</v>
      </c>
      <c r="C182" s="1" t="s">
        <v>16</v>
      </c>
      <c r="D182" s="1" t="s">
        <v>27</v>
      </c>
      <c r="E182" s="1" t="s">
        <v>35</v>
      </c>
      <c r="F182" s="1" t="s">
        <v>51</v>
      </c>
      <c r="G182" s="2">
        <v>45178</v>
      </c>
      <c r="H182" s="1" t="s">
        <v>66</v>
      </c>
      <c r="I182" s="1">
        <v>2</v>
      </c>
      <c r="J182" s="1">
        <v>21213</v>
      </c>
      <c r="K182" s="1">
        <v>42426</v>
      </c>
    </row>
    <row r="183" spans="1:11" x14ac:dyDescent="0.3">
      <c r="A183" s="1">
        <v>182</v>
      </c>
      <c r="B183" s="1" t="s">
        <v>12</v>
      </c>
      <c r="C183" s="1" t="s">
        <v>18</v>
      </c>
      <c r="D183" s="1" t="s">
        <v>20</v>
      </c>
      <c r="E183" s="1" t="s">
        <v>35</v>
      </c>
      <c r="F183" s="1" t="s">
        <v>51</v>
      </c>
      <c r="G183" s="2">
        <v>45166</v>
      </c>
      <c r="H183" s="1" t="s">
        <v>72</v>
      </c>
      <c r="I183" s="1">
        <v>22</v>
      </c>
      <c r="J183" s="1">
        <v>47127</v>
      </c>
      <c r="K183" s="1">
        <v>1036794</v>
      </c>
    </row>
    <row r="184" spans="1:11" x14ac:dyDescent="0.3">
      <c r="A184" s="1">
        <v>183</v>
      </c>
      <c r="B184" s="1" t="s">
        <v>15</v>
      </c>
      <c r="C184" s="1" t="s">
        <v>18</v>
      </c>
      <c r="D184" s="1" t="s">
        <v>33</v>
      </c>
      <c r="E184" s="1" t="s">
        <v>36</v>
      </c>
      <c r="F184" s="1" t="s">
        <v>49</v>
      </c>
      <c r="G184" s="2">
        <v>45050</v>
      </c>
      <c r="H184" s="1" t="s">
        <v>61</v>
      </c>
      <c r="I184" s="1">
        <v>18</v>
      </c>
      <c r="J184" s="1">
        <v>25663</v>
      </c>
      <c r="K184" s="1">
        <v>461934</v>
      </c>
    </row>
    <row r="185" spans="1:11" x14ac:dyDescent="0.3">
      <c r="A185" s="1">
        <v>184</v>
      </c>
      <c r="B185" s="1" t="s">
        <v>12</v>
      </c>
      <c r="C185" s="1" t="s">
        <v>16</v>
      </c>
      <c r="D185" s="1" t="s">
        <v>30</v>
      </c>
      <c r="E185" s="1" t="s">
        <v>35</v>
      </c>
      <c r="F185" s="1" t="s">
        <v>49</v>
      </c>
      <c r="G185" s="2">
        <v>45186</v>
      </c>
      <c r="H185" s="1" t="s">
        <v>66</v>
      </c>
      <c r="I185" s="1">
        <v>40</v>
      </c>
      <c r="J185" s="1">
        <v>18474</v>
      </c>
      <c r="K185" s="1">
        <v>738960</v>
      </c>
    </row>
    <row r="186" spans="1:11" x14ac:dyDescent="0.3">
      <c r="A186" s="1">
        <v>185</v>
      </c>
      <c r="B186" s="1" t="s">
        <v>12</v>
      </c>
      <c r="C186" s="1" t="s">
        <v>17</v>
      </c>
      <c r="D186" s="1" t="s">
        <v>31</v>
      </c>
      <c r="E186" s="1" t="s">
        <v>36</v>
      </c>
      <c r="F186" s="1" t="s">
        <v>42</v>
      </c>
      <c r="G186" s="2">
        <v>45160</v>
      </c>
      <c r="H186" s="1" t="s">
        <v>72</v>
      </c>
      <c r="I186" s="1">
        <v>43</v>
      </c>
      <c r="J186" s="1">
        <v>5143</v>
      </c>
      <c r="K186" s="1">
        <v>221149</v>
      </c>
    </row>
    <row r="187" spans="1:11" x14ac:dyDescent="0.3">
      <c r="A187" s="1">
        <v>186</v>
      </c>
      <c r="B187" s="1" t="s">
        <v>12</v>
      </c>
      <c r="C187" s="1" t="s">
        <v>18</v>
      </c>
      <c r="D187" s="1" t="s">
        <v>31</v>
      </c>
      <c r="E187" s="1" t="s">
        <v>38</v>
      </c>
      <c r="F187" s="1" t="s">
        <v>47</v>
      </c>
      <c r="G187" s="2">
        <v>44944</v>
      </c>
      <c r="H187" s="1" t="s">
        <v>68</v>
      </c>
      <c r="I187" s="1">
        <v>23</v>
      </c>
      <c r="J187" s="1">
        <v>28438</v>
      </c>
      <c r="K187" s="1">
        <v>654074</v>
      </c>
    </row>
    <row r="188" spans="1:11" x14ac:dyDescent="0.3">
      <c r="A188" s="1">
        <v>187</v>
      </c>
      <c r="B188" s="1" t="s">
        <v>13</v>
      </c>
      <c r="C188" s="1" t="s">
        <v>17</v>
      </c>
      <c r="D188" s="1" t="s">
        <v>33</v>
      </c>
      <c r="E188" s="1" t="s">
        <v>38</v>
      </c>
      <c r="F188" s="1" t="s">
        <v>60</v>
      </c>
      <c r="G188" s="2">
        <v>45123</v>
      </c>
      <c r="H188" s="1" t="s">
        <v>64</v>
      </c>
      <c r="I188" s="1">
        <v>4</v>
      </c>
      <c r="J188" s="1">
        <v>49039</v>
      </c>
      <c r="K188" s="1">
        <v>196156</v>
      </c>
    </row>
    <row r="189" spans="1:11" x14ac:dyDescent="0.3">
      <c r="A189" s="1">
        <v>188</v>
      </c>
      <c r="B189" s="1" t="s">
        <v>13</v>
      </c>
      <c r="C189" s="1" t="s">
        <v>16</v>
      </c>
      <c r="D189" s="1" t="s">
        <v>34</v>
      </c>
      <c r="E189" s="1" t="s">
        <v>37</v>
      </c>
      <c r="F189" s="1" t="s">
        <v>54</v>
      </c>
      <c r="G189" s="2">
        <v>44954</v>
      </c>
      <c r="H189" s="1" t="s">
        <v>68</v>
      </c>
      <c r="I189" s="1">
        <v>14</v>
      </c>
      <c r="J189" s="1">
        <v>20975</v>
      </c>
      <c r="K189" s="1">
        <v>293650</v>
      </c>
    </row>
    <row r="190" spans="1:11" x14ac:dyDescent="0.3">
      <c r="A190" s="1">
        <v>189</v>
      </c>
      <c r="B190" s="1" t="s">
        <v>11</v>
      </c>
      <c r="C190" s="1" t="s">
        <v>18</v>
      </c>
      <c r="D190" s="1" t="s">
        <v>32</v>
      </c>
      <c r="E190" s="1" t="s">
        <v>38</v>
      </c>
      <c r="F190" s="1" t="s">
        <v>44</v>
      </c>
      <c r="G190" s="2">
        <v>45161</v>
      </c>
      <c r="H190" s="1" t="s">
        <v>72</v>
      </c>
      <c r="I190" s="1">
        <v>39</v>
      </c>
      <c r="J190" s="1">
        <v>20915</v>
      </c>
      <c r="K190" s="1">
        <v>815685</v>
      </c>
    </row>
    <row r="191" spans="1:11" x14ac:dyDescent="0.3">
      <c r="A191" s="1">
        <v>190</v>
      </c>
      <c r="B191" s="1" t="s">
        <v>12</v>
      </c>
      <c r="C191" s="1" t="s">
        <v>17</v>
      </c>
      <c r="D191" s="1" t="s">
        <v>30</v>
      </c>
      <c r="E191" s="1" t="s">
        <v>37</v>
      </c>
      <c r="F191" s="1" t="s">
        <v>57</v>
      </c>
      <c r="G191" s="2">
        <v>44963</v>
      </c>
      <c r="H191" s="1" t="s">
        <v>70</v>
      </c>
      <c r="I191" s="1">
        <v>32</v>
      </c>
      <c r="J191" s="1">
        <v>48303</v>
      </c>
      <c r="K191" s="1">
        <v>1545696</v>
      </c>
    </row>
    <row r="192" spans="1:11" x14ac:dyDescent="0.3">
      <c r="A192" s="1">
        <v>191</v>
      </c>
      <c r="B192" s="1" t="s">
        <v>11</v>
      </c>
      <c r="C192" s="1" t="s">
        <v>18</v>
      </c>
      <c r="D192" s="1" t="s">
        <v>33</v>
      </c>
      <c r="E192" s="1" t="s">
        <v>39</v>
      </c>
      <c r="F192" s="1" t="s">
        <v>54</v>
      </c>
      <c r="G192" s="2">
        <v>45116</v>
      </c>
      <c r="H192" s="1" t="s">
        <v>64</v>
      </c>
      <c r="I192" s="1">
        <v>48</v>
      </c>
      <c r="J192" s="1">
        <v>41266</v>
      </c>
      <c r="K192" s="1">
        <v>1980768</v>
      </c>
    </row>
    <row r="193" spans="1:11" x14ac:dyDescent="0.3">
      <c r="A193" s="1">
        <v>192</v>
      </c>
      <c r="B193" s="1" t="s">
        <v>12</v>
      </c>
      <c r="C193" s="1" t="s">
        <v>16</v>
      </c>
      <c r="D193" s="1" t="s">
        <v>31</v>
      </c>
      <c r="E193" s="1" t="s">
        <v>39</v>
      </c>
      <c r="F193" s="1" t="s">
        <v>58</v>
      </c>
      <c r="G193" s="2">
        <v>45274</v>
      </c>
      <c r="H193" s="1" t="s">
        <v>69</v>
      </c>
      <c r="I193" s="1">
        <v>47</v>
      </c>
      <c r="J193" s="1">
        <v>31229</v>
      </c>
      <c r="K193" s="1">
        <v>1467763</v>
      </c>
    </row>
    <row r="194" spans="1:11" x14ac:dyDescent="0.3">
      <c r="A194" s="1">
        <v>193</v>
      </c>
      <c r="B194" s="1" t="s">
        <v>14</v>
      </c>
      <c r="C194" s="1" t="s">
        <v>18</v>
      </c>
      <c r="D194" s="1" t="s">
        <v>29</v>
      </c>
      <c r="E194" s="1" t="s">
        <v>37</v>
      </c>
      <c r="F194" s="1" t="s">
        <v>41</v>
      </c>
      <c r="G194" s="2">
        <v>44966</v>
      </c>
      <c r="H194" s="1" t="s">
        <v>70</v>
      </c>
      <c r="I194" s="1">
        <v>26</v>
      </c>
      <c r="J194" s="1">
        <v>28418</v>
      </c>
      <c r="K194" s="1">
        <v>738868</v>
      </c>
    </row>
    <row r="195" spans="1:11" x14ac:dyDescent="0.3">
      <c r="A195" s="1">
        <v>194</v>
      </c>
      <c r="B195" s="1" t="s">
        <v>14</v>
      </c>
      <c r="C195" s="1" t="s">
        <v>16</v>
      </c>
      <c r="D195" s="1" t="s">
        <v>26</v>
      </c>
      <c r="E195" s="1" t="s">
        <v>36</v>
      </c>
      <c r="F195" s="1" t="s">
        <v>42</v>
      </c>
      <c r="G195" s="2">
        <v>45011</v>
      </c>
      <c r="H195" s="1" t="s">
        <v>65</v>
      </c>
      <c r="I195" s="1">
        <v>25</v>
      </c>
      <c r="J195" s="1">
        <v>29501</v>
      </c>
      <c r="K195" s="1">
        <v>737525</v>
      </c>
    </row>
    <row r="196" spans="1:11" x14ac:dyDescent="0.3">
      <c r="A196" s="1">
        <v>195</v>
      </c>
      <c r="B196" s="1" t="s">
        <v>12</v>
      </c>
      <c r="C196" s="1" t="s">
        <v>17</v>
      </c>
      <c r="D196" s="1" t="s">
        <v>30</v>
      </c>
      <c r="E196" s="1" t="s">
        <v>36</v>
      </c>
      <c r="F196" s="1" t="s">
        <v>54</v>
      </c>
      <c r="G196" s="2">
        <v>45190</v>
      </c>
      <c r="H196" s="1" t="s">
        <v>66</v>
      </c>
      <c r="I196" s="1">
        <v>37</v>
      </c>
      <c r="J196" s="1">
        <v>20262</v>
      </c>
      <c r="K196" s="1">
        <v>749694</v>
      </c>
    </row>
    <row r="197" spans="1:11" x14ac:dyDescent="0.3">
      <c r="A197" s="1">
        <v>196</v>
      </c>
      <c r="B197" s="1" t="s">
        <v>13</v>
      </c>
      <c r="C197" s="1" t="s">
        <v>16</v>
      </c>
      <c r="D197" s="1" t="s">
        <v>33</v>
      </c>
      <c r="E197" s="1" t="s">
        <v>37</v>
      </c>
      <c r="F197" s="1" t="s">
        <v>47</v>
      </c>
      <c r="G197" s="2">
        <v>45161</v>
      </c>
      <c r="H197" s="1" t="s">
        <v>72</v>
      </c>
      <c r="I197" s="1">
        <v>1</v>
      </c>
      <c r="J197" s="1">
        <v>25078</v>
      </c>
      <c r="K197" s="1">
        <v>25078</v>
      </c>
    </row>
    <row r="198" spans="1:11" x14ac:dyDescent="0.3">
      <c r="A198" s="1">
        <v>197</v>
      </c>
      <c r="B198" s="1" t="s">
        <v>12</v>
      </c>
      <c r="C198" s="1" t="s">
        <v>16</v>
      </c>
      <c r="D198" s="1" t="s">
        <v>32</v>
      </c>
      <c r="E198" s="1" t="s">
        <v>40</v>
      </c>
      <c r="F198" s="1" t="s">
        <v>41</v>
      </c>
      <c r="G198" s="2">
        <v>45047</v>
      </c>
      <c r="H198" s="1" t="s">
        <v>61</v>
      </c>
      <c r="I198" s="1">
        <v>16</v>
      </c>
      <c r="J198" s="1">
        <v>18805</v>
      </c>
      <c r="K198" s="1">
        <v>300880</v>
      </c>
    </row>
    <row r="199" spans="1:11" x14ac:dyDescent="0.3">
      <c r="A199" s="1">
        <v>198</v>
      </c>
      <c r="B199" s="1" t="s">
        <v>11</v>
      </c>
      <c r="C199" s="1" t="s">
        <v>16</v>
      </c>
      <c r="D199" s="1" t="s">
        <v>21</v>
      </c>
      <c r="E199" s="1" t="s">
        <v>39</v>
      </c>
      <c r="F199" s="1" t="s">
        <v>57</v>
      </c>
      <c r="G199" s="2">
        <v>45082</v>
      </c>
      <c r="H199" s="1" t="s">
        <v>71</v>
      </c>
      <c r="I199" s="1">
        <v>16</v>
      </c>
      <c r="J199" s="1">
        <v>6944</v>
      </c>
      <c r="K199" s="1">
        <v>111104</v>
      </c>
    </row>
    <row r="200" spans="1:11" x14ac:dyDescent="0.3">
      <c r="A200" s="1">
        <v>199</v>
      </c>
      <c r="B200" s="1" t="s">
        <v>15</v>
      </c>
      <c r="C200" s="1" t="s">
        <v>16</v>
      </c>
      <c r="D200" s="1" t="s">
        <v>19</v>
      </c>
      <c r="E200" s="1" t="s">
        <v>35</v>
      </c>
      <c r="F200" s="1" t="s">
        <v>53</v>
      </c>
      <c r="G200" s="2">
        <v>45160</v>
      </c>
      <c r="H200" s="1" t="s">
        <v>72</v>
      </c>
      <c r="I200" s="1">
        <v>33</v>
      </c>
      <c r="J200" s="1">
        <v>49510</v>
      </c>
      <c r="K200" s="1">
        <v>1633830</v>
      </c>
    </row>
    <row r="201" spans="1:11" x14ac:dyDescent="0.3">
      <c r="A201" s="1">
        <v>200</v>
      </c>
      <c r="B201" s="1" t="s">
        <v>12</v>
      </c>
      <c r="C201" s="1" t="s">
        <v>17</v>
      </c>
      <c r="D201" s="1" t="s">
        <v>28</v>
      </c>
      <c r="E201" s="1" t="s">
        <v>36</v>
      </c>
      <c r="F201" s="1" t="s">
        <v>58</v>
      </c>
      <c r="G201" s="2">
        <v>45256</v>
      </c>
      <c r="H201" s="1" t="s">
        <v>62</v>
      </c>
      <c r="I201" s="1">
        <v>20</v>
      </c>
      <c r="J201" s="1">
        <v>4415</v>
      </c>
      <c r="K201" s="1">
        <v>88300</v>
      </c>
    </row>
    <row r="202" spans="1:11" x14ac:dyDescent="0.3">
      <c r="A202" s="1">
        <v>201</v>
      </c>
      <c r="B202" s="1" t="s">
        <v>13</v>
      </c>
      <c r="C202" s="1" t="s">
        <v>16</v>
      </c>
      <c r="D202" s="1" t="s">
        <v>19</v>
      </c>
      <c r="E202" s="1" t="s">
        <v>35</v>
      </c>
      <c r="F202" s="1" t="s">
        <v>45</v>
      </c>
      <c r="G202" s="2">
        <v>45032</v>
      </c>
      <c r="H202" s="1" t="s">
        <v>67</v>
      </c>
      <c r="I202" s="1">
        <v>47</v>
      </c>
      <c r="J202" s="1">
        <v>47279</v>
      </c>
      <c r="K202" s="1">
        <v>2222113</v>
      </c>
    </row>
    <row r="203" spans="1:11" x14ac:dyDescent="0.3">
      <c r="A203" s="1">
        <v>202</v>
      </c>
      <c r="B203" s="1" t="s">
        <v>13</v>
      </c>
      <c r="C203" s="1" t="s">
        <v>17</v>
      </c>
      <c r="D203" s="1" t="s">
        <v>21</v>
      </c>
      <c r="E203" s="1" t="s">
        <v>40</v>
      </c>
      <c r="F203" s="1" t="s">
        <v>50</v>
      </c>
      <c r="G203" s="2">
        <v>44973</v>
      </c>
      <c r="H203" s="1" t="s">
        <v>70</v>
      </c>
      <c r="I203" s="1">
        <v>24</v>
      </c>
      <c r="J203" s="1">
        <v>19617</v>
      </c>
      <c r="K203" s="1">
        <v>470808</v>
      </c>
    </row>
    <row r="204" spans="1:11" x14ac:dyDescent="0.3">
      <c r="A204" s="1">
        <v>203</v>
      </c>
      <c r="B204" s="1" t="s">
        <v>14</v>
      </c>
      <c r="C204" s="1" t="s">
        <v>17</v>
      </c>
      <c r="D204" s="1" t="s">
        <v>31</v>
      </c>
      <c r="E204" s="1" t="s">
        <v>40</v>
      </c>
      <c r="F204" s="1" t="s">
        <v>47</v>
      </c>
      <c r="G204" s="2">
        <v>45159</v>
      </c>
      <c r="H204" s="1" t="s">
        <v>72</v>
      </c>
      <c r="I204" s="1">
        <v>48</v>
      </c>
      <c r="J204" s="1">
        <v>15261</v>
      </c>
      <c r="K204" s="1">
        <v>732528</v>
      </c>
    </row>
    <row r="205" spans="1:11" x14ac:dyDescent="0.3">
      <c r="A205" s="1">
        <v>204</v>
      </c>
      <c r="B205" s="1" t="s">
        <v>12</v>
      </c>
      <c r="C205" s="1" t="s">
        <v>18</v>
      </c>
      <c r="D205" s="1" t="s">
        <v>22</v>
      </c>
      <c r="E205" s="1" t="s">
        <v>36</v>
      </c>
      <c r="F205" s="1" t="s">
        <v>45</v>
      </c>
      <c r="G205" s="2">
        <v>45272</v>
      </c>
      <c r="H205" s="1" t="s">
        <v>69</v>
      </c>
      <c r="I205" s="1">
        <v>30</v>
      </c>
      <c r="J205" s="1">
        <v>5661</v>
      </c>
      <c r="K205" s="1">
        <v>169830</v>
      </c>
    </row>
    <row r="206" spans="1:11" x14ac:dyDescent="0.3">
      <c r="A206" s="1">
        <v>205</v>
      </c>
      <c r="B206" s="1" t="s">
        <v>15</v>
      </c>
      <c r="C206" s="1" t="s">
        <v>17</v>
      </c>
      <c r="D206" s="1" t="s">
        <v>26</v>
      </c>
      <c r="E206" s="1" t="s">
        <v>35</v>
      </c>
      <c r="F206" s="1" t="s">
        <v>60</v>
      </c>
      <c r="G206" s="2">
        <v>44954</v>
      </c>
      <c r="H206" s="1" t="s">
        <v>68</v>
      </c>
      <c r="I206" s="1">
        <v>50</v>
      </c>
      <c r="J206" s="1">
        <v>29715</v>
      </c>
      <c r="K206" s="1">
        <v>1485750</v>
      </c>
    </row>
    <row r="207" spans="1:11" x14ac:dyDescent="0.3">
      <c r="A207" s="1">
        <v>206</v>
      </c>
      <c r="B207" s="1" t="s">
        <v>11</v>
      </c>
      <c r="C207" s="1" t="s">
        <v>17</v>
      </c>
      <c r="D207" s="1" t="s">
        <v>21</v>
      </c>
      <c r="E207" s="1" t="s">
        <v>37</v>
      </c>
      <c r="F207" s="1" t="s">
        <v>44</v>
      </c>
      <c r="G207" s="2">
        <v>45200</v>
      </c>
      <c r="H207" s="1" t="s">
        <v>63</v>
      </c>
      <c r="I207" s="1">
        <v>5</v>
      </c>
      <c r="J207" s="1">
        <v>49776</v>
      </c>
      <c r="K207" s="1">
        <v>248880</v>
      </c>
    </row>
    <row r="208" spans="1:11" x14ac:dyDescent="0.3">
      <c r="A208" s="1">
        <v>207</v>
      </c>
      <c r="B208" s="1" t="s">
        <v>13</v>
      </c>
      <c r="C208" s="1" t="s">
        <v>16</v>
      </c>
      <c r="D208" s="1" t="s">
        <v>23</v>
      </c>
      <c r="E208" s="1" t="s">
        <v>38</v>
      </c>
      <c r="F208" s="1" t="s">
        <v>50</v>
      </c>
      <c r="G208" s="2">
        <v>45279</v>
      </c>
      <c r="H208" s="1" t="s">
        <v>69</v>
      </c>
      <c r="I208" s="1">
        <v>13</v>
      </c>
      <c r="J208" s="1">
        <v>38601</v>
      </c>
      <c r="K208" s="1">
        <v>501813</v>
      </c>
    </row>
    <row r="209" spans="1:11" x14ac:dyDescent="0.3">
      <c r="A209" s="1">
        <v>208</v>
      </c>
      <c r="B209" s="1" t="s">
        <v>11</v>
      </c>
      <c r="C209" s="1" t="s">
        <v>16</v>
      </c>
      <c r="D209" s="1" t="s">
        <v>19</v>
      </c>
      <c r="E209" s="1" t="s">
        <v>36</v>
      </c>
      <c r="F209" s="1" t="s">
        <v>41</v>
      </c>
      <c r="G209" s="2">
        <v>45121</v>
      </c>
      <c r="H209" s="1" t="s">
        <v>64</v>
      </c>
      <c r="I209" s="1">
        <v>45</v>
      </c>
      <c r="J209" s="1">
        <v>16195</v>
      </c>
      <c r="K209" s="1">
        <v>728775</v>
      </c>
    </row>
    <row r="210" spans="1:11" x14ac:dyDescent="0.3">
      <c r="A210" s="1">
        <v>209</v>
      </c>
      <c r="B210" s="1" t="s">
        <v>15</v>
      </c>
      <c r="C210" s="1" t="s">
        <v>16</v>
      </c>
      <c r="D210" s="1" t="s">
        <v>33</v>
      </c>
      <c r="E210" s="1" t="s">
        <v>40</v>
      </c>
      <c r="F210" s="1" t="s">
        <v>45</v>
      </c>
      <c r="G210" s="2">
        <v>44989</v>
      </c>
      <c r="H210" s="1" t="s">
        <v>65</v>
      </c>
      <c r="I210" s="1">
        <v>29</v>
      </c>
      <c r="J210" s="1">
        <v>39081</v>
      </c>
      <c r="K210" s="1">
        <v>1133349</v>
      </c>
    </row>
    <row r="211" spans="1:11" x14ac:dyDescent="0.3">
      <c r="A211" s="1">
        <v>210</v>
      </c>
      <c r="B211" s="1" t="s">
        <v>12</v>
      </c>
      <c r="C211" s="1" t="s">
        <v>17</v>
      </c>
      <c r="D211" s="1" t="s">
        <v>23</v>
      </c>
      <c r="E211" s="1" t="s">
        <v>36</v>
      </c>
      <c r="F211" s="1" t="s">
        <v>59</v>
      </c>
      <c r="G211" s="2">
        <v>45210</v>
      </c>
      <c r="H211" s="1" t="s">
        <v>63</v>
      </c>
      <c r="I211" s="1">
        <v>10</v>
      </c>
      <c r="J211" s="1">
        <v>37599</v>
      </c>
      <c r="K211" s="1">
        <v>375990</v>
      </c>
    </row>
    <row r="212" spans="1:11" x14ac:dyDescent="0.3">
      <c r="A212" s="1">
        <v>211</v>
      </c>
      <c r="B212" s="1" t="s">
        <v>14</v>
      </c>
      <c r="C212" s="1" t="s">
        <v>18</v>
      </c>
      <c r="D212" s="1" t="s">
        <v>25</v>
      </c>
      <c r="E212" s="1" t="s">
        <v>39</v>
      </c>
      <c r="F212" s="1" t="s">
        <v>45</v>
      </c>
      <c r="G212" s="2">
        <v>45080</v>
      </c>
      <c r="H212" s="1" t="s">
        <v>71</v>
      </c>
      <c r="I212" s="1">
        <v>35</v>
      </c>
      <c r="J212" s="1">
        <v>29538</v>
      </c>
      <c r="K212" s="1">
        <v>1033830</v>
      </c>
    </row>
    <row r="213" spans="1:11" x14ac:dyDescent="0.3">
      <c r="A213" s="1">
        <v>212</v>
      </c>
      <c r="B213" s="1" t="s">
        <v>12</v>
      </c>
      <c r="C213" s="1" t="s">
        <v>16</v>
      </c>
      <c r="D213" s="1" t="s">
        <v>22</v>
      </c>
      <c r="E213" s="1" t="s">
        <v>39</v>
      </c>
      <c r="F213" s="1" t="s">
        <v>59</v>
      </c>
      <c r="G213" s="2">
        <v>45029</v>
      </c>
      <c r="H213" s="1" t="s">
        <v>67</v>
      </c>
      <c r="I213" s="1">
        <v>48</v>
      </c>
      <c r="J213" s="1">
        <v>22470</v>
      </c>
      <c r="K213" s="1">
        <v>1078560</v>
      </c>
    </row>
    <row r="214" spans="1:11" x14ac:dyDescent="0.3">
      <c r="A214" s="1">
        <v>213</v>
      </c>
      <c r="B214" s="1" t="s">
        <v>14</v>
      </c>
      <c r="C214" s="1" t="s">
        <v>16</v>
      </c>
      <c r="D214" s="1" t="s">
        <v>21</v>
      </c>
      <c r="E214" s="1" t="s">
        <v>40</v>
      </c>
      <c r="F214" s="1" t="s">
        <v>59</v>
      </c>
      <c r="G214" s="2">
        <v>45066</v>
      </c>
      <c r="H214" s="1" t="s">
        <v>61</v>
      </c>
      <c r="I214" s="1">
        <v>26</v>
      </c>
      <c r="J214" s="1">
        <v>23536</v>
      </c>
      <c r="K214" s="1">
        <v>611936</v>
      </c>
    </row>
    <row r="215" spans="1:11" x14ac:dyDescent="0.3">
      <c r="A215" s="1">
        <v>214</v>
      </c>
      <c r="B215" s="1" t="s">
        <v>11</v>
      </c>
      <c r="C215" s="1" t="s">
        <v>17</v>
      </c>
      <c r="D215" s="1" t="s">
        <v>31</v>
      </c>
      <c r="E215" s="1" t="s">
        <v>36</v>
      </c>
      <c r="F215" s="1" t="s">
        <v>57</v>
      </c>
      <c r="G215" s="2">
        <v>45041</v>
      </c>
      <c r="H215" s="1" t="s">
        <v>67</v>
      </c>
      <c r="I215" s="1">
        <v>26</v>
      </c>
      <c r="J215" s="1">
        <v>45464</v>
      </c>
      <c r="K215" s="1">
        <v>1182064</v>
      </c>
    </row>
    <row r="216" spans="1:11" x14ac:dyDescent="0.3">
      <c r="A216" s="1">
        <v>215</v>
      </c>
      <c r="B216" s="1" t="s">
        <v>14</v>
      </c>
      <c r="C216" s="1" t="s">
        <v>18</v>
      </c>
      <c r="D216" s="1" t="s">
        <v>26</v>
      </c>
      <c r="E216" s="1" t="s">
        <v>38</v>
      </c>
      <c r="F216" s="1" t="s">
        <v>49</v>
      </c>
      <c r="G216" s="2">
        <v>45144</v>
      </c>
      <c r="H216" s="1" t="s">
        <v>72</v>
      </c>
      <c r="I216" s="1">
        <v>19</v>
      </c>
      <c r="J216" s="1">
        <v>28711</v>
      </c>
      <c r="K216" s="1">
        <v>545509</v>
      </c>
    </row>
    <row r="217" spans="1:11" x14ac:dyDescent="0.3">
      <c r="A217" s="1">
        <v>216</v>
      </c>
      <c r="B217" s="1" t="s">
        <v>14</v>
      </c>
      <c r="C217" s="1" t="s">
        <v>16</v>
      </c>
      <c r="D217" s="1" t="s">
        <v>33</v>
      </c>
      <c r="E217" s="1" t="s">
        <v>39</v>
      </c>
      <c r="F217" s="1" t="s">
        <v>56</v>
      </c>
      <c r="G217" s="2">
        <v>45179</v>
      </c>
      <c r="H217" s="1" t="s">
        <v>66</v>
      </c>
      <c r="I217" s="1">
        <v>30</v>
      </c>
      <c r="J217" s="1">
        <v>40920</v>
      </c>
      <c r="K217" s="1">
        <v>1227600</v>
      </c>
    </row>
    <row r="218" spans="1:11" x14ac:dyDescent="0.3">
      <c r="A218" s="1">
        <v>217</v>
      </c>
      <c r="B218" s="1" t="s">
        <v>13</v>
      </c>
      <c r="C218" s="1" t="s">
        <v>18</v>
      </c>
      <c r="D218" s="1" t="s">
        <v>26</v>
      </c>
      <c r="E218" s="1" t="s">
        <v>38</v>
      </c>
      <c r="F218" s="1" t="s">
        <v>57</v>
      </c>
      <c r="G218" s="2">
        <v>45082</v>
      </c>
      <c r="H218" s="1" t="s">
        <v>71</v>
      </c>
      <c r="I218" s="1">
        <v>40</v>
      </c>
      <c r="J218" s="1">
        <v>24582</v>
      </c>
      <c r="K218" s="1">
        <v>983280</v>
      </c>
    </row>
    <row r="219" spans="1:11" x14ac:dyDescent="0.3">
      <c r="A219" s="1">
        <v>218</v>
      </c>
      <c r="B219" s="1" t="s">
        <v>13</v>
      </c>
      <c r="C219" s="1" t="s">
        <v>16</v>
      </c>
      <c r="D219" s="1" t="s">
        <v>24</v>
      </c>
      <c r="E219" s="1" t="s">
        <v>40</v>
      </c>
      <c r="F219" s="1" t="s">
        <v>60</v>
      </c>
      <c r="G219" s="2">
        <v>45220</v>
      </c>
      <c r="H219" s="1" t="s">
        <v>63</v>
      </c>
      <c r="I219" s="1">
        <v>40</v>
      </c>
      <c r="J219" s="1">
        <v>9260</v>
      </c>
      <c r="K219" s="1">
        <v>370400</v>
      </c>
    </row>
    <row r="220" spans="1:11" x14ac:dyDescent="0.3">
      <c r="A220" s="1">
        <v>219</v>
      </c>
      <c r="B220" s="1" t="s">
        <v>11</v>
      </c>
      <c r="C220" s="1" t="s">
        <v>16</v>
      </c>
      <c r="D220" s="1" t="s">
        <v>32</v>
      </c>
      <c r="E220" s="1" t="s">
        <v>38</v>
      </c>
      <c r="F220" s="1" t="s">
        <v>46</v>
      </c>
      <c r="G220" s="2">
        <v>44937</v>
      </c>
      <c r="H220" s="1" t="s">
        <v>68</v>
      </c>
      <c r="I220" s="1">
        <v>7</v>
      </c>
      <c r="J220" s="1">
        <v>24157</v>
      </c>
      <c r="K220" s="1">
        <v>169099</v>
      </c>
    </row>
    <row r="221" spans="1:11" x14ac:dyDescent="0.3">
      <c r="A221" s="1">
        <v>220</v>
      </c>
      <c r="B221" s="1" t="s">
        <v>12</v>
      </c>
      <c r="C221" s="1" t="s">
        <v>16</v>
      </c>
      <c r="D221" s="1" t="s">
        <v>32</v>
      </c>
      <c r="E221" s="1" t="s">
        <v>36</v>
      </c>
      <c r="F221" s="1" t="s">
        <v>47</v>
      </c>
      <c r="G221" s="2">
        <v>45118</v>
      </c>
      <c r="H221" s="1" t="s">
        <v>64</v>
      </c>
      <c r="I221" s="1">
        <v>22</v>
      </c>
      <c r="J221" s="1">
        <v>39625</v>
      </c>
      <c r="K221" s="1">
        <v>871750</v>
      </c>
    </row>
    <row r="222" spans="1:11" x14ac:dyDescent="0.3">
      <c r="A222" s="1">
        <v>221</v>
      </c>
      <c r="B222" s="1" t="s">
        <v>13</v>
      </c>
      <c r="C222" s="1" t="s">
        <v>18</v>
      </c>
      <c r="D222" s="1" t="s">
        <v>19</v>
      </c>
      <c r="E222" s="1" t="s">
        <v>38</v>
      </c>
      <c r="F222" s="1" t="s">
        <v>42</v>
      </c>
      <c r="G222" s="2">
        <v>45201</v>
      </c>
      <c r="H222" s="1" t="s">
        <v>63</v>
      </c>
      <c r="I222" s="1">
        <v>49</v>
      </c>
      <c r="J222" s="1">
        <v>11059</v>
      </c>
      <c r="K222" s="1">
        <v>541891</v>
      </c>
    </row>
    <row r="223" spans="1:11" x14ac:dyDescent="0.3">
      <c r="A223" s="1">
        <v>222</v>
      </c>
      <c r="B223" s="1" t="s">
        <v>11</v>
      </c>
      <c r="C223" s="1" t="s">
        <v>16</v>
      </c>
      <c r="D223" s="1" t="s">
        <v>32</v>
      </c>
      <c r="E223" s="1" t="s">
        <v>36</v>
      </c>
      <c r="F223" s="1" t="s">
        <v>44</v>
      </c>
      <c r="G223" s="2">
        <v>45047</v>
      </c>
      <c r="H223" s="1" t="s">
        <v>61</v>
      </c>
      <c r="I223" s="1">
        <v>11</v>
      </c>
      <c r="J223" s="1">
        <v>18381</v>
      </c>
      <c r="K223" s="1">
        <v>202191</v>
      </c>
    </row>
    <row r="224" spans="1:11" x14ac:dyDescent="0.3">
      <c r="A224" s="1">
        <v>223</v>
      </c>
      <c r="B224" s="1" t="s">
        <v>13</v>
      </c>
      <c r="C224" s="1" t="s">
        <v>16</v>
      </c>
      <c r="D224" s="1" t="s">
        <v>32</v>
      </c>
      <c r="E224" s="1" t="s">
        <v>40</v>
      </c>
      <c r="F224" s="1" t="s">
        <v>48</v>
      </c>
      <c r="G224" s="2">
        <v>45166</v>
      </c>
      <c r="H224" s="1" t="s">
        <v>72</v>
      </c>
      <c r="I224" s="1">
        <v>47</v>
      </c>
      <c r="J224" s="1">
        <v>36309</v>
      </c>
      <c r="K224" s="1">
        <v>1706523</v>
      </c>
    </row>
    <row r="225" spans="1:11" x14ac:dyDescent="0.3">
      <c r="A225" s="1">
        <v>224</v>
      </c>
      <c r="B225" s="1" t="s">
        <v>14</v>
      </c>
      <c r="C225" s="1" t="s">
        <v>18</v>
      </c>
      <c r="D225" s="1" t="s">
        <v>28</v>
      </c>
      <c r="E225" s="1" t="s">
        <v>39</v>
      </c>
      <c r="F225" s="1" t="s">
        <v>53</v>
      </c>
      <c r="G225" s="2">
        <v>45110</v>
      </c>
      <c r="H225" s="1" t="s">
        <v>64</v>
      </c>
      <c r="I225" s="1">
        <v>27</v>
      </c>
      <c r="J225" s="1">
        <v>21242</v>
      </c>
      <c r="K225" s="1">
        <v>573534</v>
      </c>
    </row>
    <row r="226" spans="1:11" x14ac:dyDescent="0.3">
      <c r="A226" s="1">
        <v>225</v>
      </c>
      <c r="B226" s="1" t="s">
        <v>13</v>
      </c>
      <c r="C226" s="1" t="s">
        <v>17</v>
      </c>
      <c r="D226" s="1" t="s">
        <v>28</v>
      </c>
      <c r="E226" s="1" t="s">
        <v>40</v>
      </c>
      <c r="F226" s="1" t="s">
        <v>43</v>
      </c>
      <c r="G226" s="2">
        <v>44941</v>
      </c>
      <c r="H226" s="1" t="s">
        <v>68</v>
      </c>
      <c r="I226" s="1">
        <v>5</v>
      </c>
      <c r="J226" s="1">
        <v>1869</v>
      </c>
      <c r="K226" s="1">
        <v>9345</v>
      </c>
    </row>
    <row r="227" spans="1:11" x14ac:dyDescent="0.3">
      <c r="A227" s="1">
        <v>226</v>
      </c>
      <c r="B227" s="1" t="s">
        <v>11</v>
      </c>
      <c r="C227" s="1" t="s">
        <v>17</v>
      </c>
      <c r="D227" s="1" t="s">
        <v>31</v>
      </c>
      <c r="E227" s="1" t="s">
        <v>39</v>
      </c>
      <c r="F227" s="1" t="s">
        <v>45</v>
      </c>
      <c r="G227" s="2">
        <v>45153</v>
      </c>
      <c r="H227" s="1" t="s">
        <v>72</v>
      </c>
      <c r="I227" s="1">
        <v>45</v>
      </c>
      <c r="J227" s="1">
        <v>45234</v>
      </c>
      <c r="K227" s="1">
        <v>2035530</v>
      </c>
    </row>
    <row r="228" spans="1:11" x14ac:dyDescent="0.3">
      <c r="A228" s="1">
        <v>227</v>
      </c>
      <c r="B228" s="1" t="s">
        <v>11</v>
      </c>
      <c r="C228" s="1" t="s">
        <v>16</v>
      </c>
      <c r="D228" s="1" t="s">
        <v>24</v>
      </c>
      <c r="E228" s="1" t="s">
        <v>37</v>
      </c>
      <c r="F228" s="1" t="s">
        <v>41</v>
      </c>
      <c r="G228" s="2">
        <v>44935</v>
      </c>
      <c r="H228" s="1" t="s">
        <v>68</v>
      </c>
      <c r="I228" s="1">
        <v>40</v>
      </c>
      <c r="J228" s="1">
        <v>4529</v>
      </c>
      <c r="K228" s="1">
        <v>181160</v>
      </c>
    </row>
    <row r="229" spans="1:11" x14ac:dyDescent="0.3">
      <c r="A229" s="1">
        <v>228</v>
      </c>
      <c r="B229" s="1" t="s">
        <v>14</v>
      </c>
      <c r="C229" s="1" t="s">
        <v>16</v>
      </c>
      <c r="D229" s="1" t="s">
        <v>28</v>
      </c>
      <c r="E229" s="1" t="s">
        <v>37</v>
      </c>
      <c r="F229" s="1" t="s">
        <v>54</v>
      </c>
      <c r="G229" s="2">
        <v>45035</v>
      </c>
      <c r="H229" s="1" t="s">
        <v>67</v>
      </c>
      <c r="I229" s="1">
        <v>41</v>
      </c>
      <c r="J229" s="1">
        <v>7744</v>
      </c>
      <c r="K229" s="1">
        <v>317504</v>
      </c>
    </row>
    <row r="230" spans="1:11" x14ac:dyDescent="0.3">
      <c r="A230" s="1">
        <v>229</v>
      </c>
      <c r="B230" s="1" t="s">
        <v>12</v>
      </c>
      <c r="C230" s="1" t="s">
        <v>18</v>
      </c>
      <c r="D230" s="1" t="s">
        <v>27</v>
      </c>
      <c r="E230" s="1" t="s">
        <v>39</v>
      </c>
      <c r="F230" s="1" t="s">
        <v>56</v>
      </c>
      <c r="G230" s="2">
        <v>45009</v>
      </c>
      <c r="H230" s="1" t="s">
        <v>65</v>
      </c>
      <c r="I230" s="1">
        <v>30</v>
      </c>
      <c r="J230" s="1">
        <v>45795</v>
      </c>
      <c r="K230" s="1">
        <v>1373850</v>
      </c>
    </row>
    <row r="231" spans="1:11" x14ac:dyDescent="0.3">
      <c r="A231" s="1">
        <v>230</v>
      </c>
      <c r="B231" s="1" t="s">
        <v>11</v>
      </c>
      <c r="C231" s="1" t="s">
        <v>18</v>
      </c>
      <c r="D231" s="1" t="s">
        <v>19</v>
      </c>
      <c r="E231" s="1" t="s">
        <v>37</v>
      </c>
      <c r="F231" s="1" t="s">
        <v>53</v>
      </c>
      <c r="G231" s="2">
        <v>44988</v>
      </c>
      <c r="H231" s="1" t="s">
        <v>65</v>
      </c>
      <c r="I231" s="1">
        <v>47</v>
      </c>
      <c r="J231" s="1">
        <v>3773</v>
      </c>
      <c r="K231" s="1">
        <v>177331</v>
      </c>
    </row>
    <row r="232" spans="1:11" x14ac:dyDescent="0.3">
      <c r="A232" s="1">
        <v>231</v>
      </c>
      <c r="B232" s="1" t="s">
        <v>14</v>
      </c>
      <c r="C232" s="1" t="s">
        <v>16</v>
      </c>
      <c r="D232" s="1" t="s">
        <v>29</v>
      </c>
      <c r="E232" s="1" t="s">
        <v>38</v>
      </c>
      <c r="F232" s="1" t="s">
        <v>45</v>
      </c>
      <c r="G232" s="2">
        <v>45181</v>
      </c>
      <c r="H232" s="1" t="s">
        <v>66</v>
      </c>
      <c r="I232" s="1">
        <v>21</v>
      </c>
      <c r="J232" s="1">
        <v>44857</v>
      </c>
      <c r="K232" s="1">
        <v>941997</v>
      </c>
    </row>
    <row r="233" spans="1:11" x14ac:dyDescent="0.3">
      <c r="A233" s="1">
        <v>232</v>
      </c>
      <c r="B233" s="1" t="s">
        <v>15</v>
      </c>
      <c r="C233" s="1" t="s">
        <v>16</v>
      </c>
      <c r="D233" s="1" t="s">
        <v>19</v>
      </c>
      <c r="E233" s="1" t="s">
        <v>36</v>
      </c>
      <c r="F233" s="1" t="s">
        <v>44</v>
      </c>
      <c r="G233" s="2">
        <v>45150</v>
      </c>
      <c r="H233" s="1" t="s">
        <v>72</v>
      </c>
      <c r="I233" s="1">
        <v>49</v>
      </c>
      <c r="J233" s="1">
        <v>17192</v>
      </c>
      <c r="K233" s="1">
        <v>842408</v>
      </c>
    </row>
    <row r="234" spans="1:11" x14ac:dyDescent="0.3">
      <c r="A234" s="1">
        <v>233</v>
      </c>
      <c r="B234" s="1" t="s">
        <v>14</v>
      </c>
      <c r="C234" s="1" t="s">
        <v>17</v>
      </c>
      <c r="D234" s="1" t="s">
        <v>21</v>
      </c>
      <c r="E234" s="1" t="s">
        <v>36</v>
      </c>
      <c r="F234" s="1" t="s">
        <v>43</v>
      </c>
      <c r="G234" s="2">
        <v>45129</v>
      </c>
      <c r="H234" s="1" t="s">
        <v>64</v>
      </c>
      <c r="I234" s="1">
        <v>16</v>
      </c>
      <c r="J234" s="1">
        <v>34560</v>
      </c>
      <c r="K234" s="1">
        <v>552960</v>
      </c>
    </row>
    <row r="235" spans="1:11" x14ac:dyDescent="0.3">
      <c r="A235" s="1">
        <v>234</v>
      </c>
      <c r="B235" s="1" t="s">
        <v>14</v>
      </c>
      <c r="C235" s="1" t="s">
        <v>18</v>
      </c>
      <c r="D235" s="1" t="s">
        <v>22</v>
      </c>
      <c r="E235" s="1" t="s">
        <v>40</v>
      </c>
      <c r="F235" s="1" t="s">
        <v>48</v>
      </c>
      <c r="G235" s="2">
        <v>45178</v>
      </c>
      <c r="H235" s="1" t="s">
        <v>66</v>
      </c>
      <c r="I235" s="1">
        <v>32</v>
      </c>
      <c r="J235" s="1">
        <v>1888</v>
      </c>
      <c r="K235" s="1">
        <v>60416</v>
      </c>
    </row>
    <row r="236" spans="1:11" x14ac:dyDescent="0.3">
      <c r="A236" s="1">
        <v>235</v>
      </c>
      <c r="B236" s="1" t="s">
        <v>15</v>
      </c>
      <c r="C236" s="1" t="s">
        <v>16</v>
      </c>
      <c r="D236" s="1" t="s">
        <v>28</v>
      </c>
      <c r="E236" s="1" t="s">
        <v>35</v>
      </c>
      <c r="F236" s="1" t="s">
        <v>49</v>
      </c>
      <c r="G236" s="2">
        <v>45159</v>
      </c>
      <c r="H236" s="1" t="s">
        <v>72</v>
      </c>
      <c r="I236" s="1">
        <v>11</v>
      </c>
      <c r="J236" s="1">
        <v>31031</v>
      </c>
      <c r="K236" s="1">
        <v>341341</v>
      </c>
    </row>
    <row r="237" spans="1:11" x14ac:dyDescent="0.3">
      <c r="A237" s="1">
        <v>236</v>
      </c>
      <c r="B237" s="1" t="s">
        <v>12</v>
      </c>
      <c r="C237" s="1" t="s">
        <v>17</v>
      </c>
      <c r="D237" s="1" t="s">
        <v>23</v>
      </c>
      <c r="E237" s="1" t="s">
        <v>40</v>
      </c>
      <c r="F237" s="1" t="s">
        <v>42</v>
      </c>
      <c r="G237" s="2">
        <v>45152</v>
      </c>
      <c r="H237" s="1" t="s">
        <v>72</v>
      </c>
      <c r="I237" s="1">
        <v>10</v>
      </c>
      <c r="J237" s="1">
        <v>5445</v>
      </c>
      <c r="K237" s="1">
        <v>54450</v>
      </c>
    </row>
    <row r="238" spans="1:11" x14ac:dyDescent="0.3">
      <c r="A238" s="1">
        <v>237</v>
      </c>
      <c r="B238" s="1" t="s">
        <v>11</v>
      </c>
      <c r="C238" s="1" t="s">
        <v>17</v>
      </c>
      <c r="D238" s="1" t="s">
        <v>31</v>
      </c>
      <c r="E238" s="1" t="s">
        <v>40</v>
      </c>
      <c r="F238" s="1" t="s">
        <v>53</v>
      </c>
      <c r="G238" s="2">
        <v>45277</v>
      </c>
      <c r="H238" s="1" t="s">
        <v>69</v>
      </c>
      <c r="I238" s="1">
        <v>39</v>
      </c>
      <c r="J238" s="1">
        <v>30569</v>
      </c>
      <c r="K238" s="1">
        <v>1192191</v>
      </c>
    </row>
    <row r="239" spans="1:11" x14ac:dyDescent="0.3">
      <c r="A239" s="1">
        <v>238</v>
      </c>
      <c r="B239" s="1" t="s">
        <v>12</v>
      </c>
      <c r="C239" s="1" t="s">
        <v>18</v>
      </c>
      <c r="D239" s="1" t="s">
        <v>22</v>
      </c>
      <c r="E239" s="1" t="s">
        <v>36</v>
      </c>
      <c r="F239" s="1" t="s">
        <v>42</v>
      </c>
      <c r="G239" s="2">
        <v>45224</v>
      </c>
      <c r="H239" s="1" t="s">
        <v>63</v>
      </c>
      <c r="I239" s="1">
        <v>17</v>
      </c>
      <c r="J239" s="1">
        <v>37483</v>
      </c>
      <c r="K239" s="1">
        <v>637211</v>
      </c>
    </row>
    <row r="240" spans="1:11" x14ac:dyDescent="0.3">
      <c r="A240" s="1">
        <v>239</v>
      </c>
      <c r="B240" s="1" t="s">
        <v>12</v>
      </c>
      <c r="C240" s="1" t="s">
        <v>17</v>
      </c>
      <c r="D240" s="1" t="s">
        <v>28</v>
      </c>
      <c r="E240" s="1" t="s">
        <v>36</v>
      </c>
      <c r="F240" s="1" t="s">
        <v>60</v>
      </c>
      <c r="G240" s="2">
        <v>45074</v>
      </c>
      <c r="H240" s="1" t="s">
        <v>61</v>
      </c>
      <c r="I240" s="1">
        <v>24</v>
      </c>
      <c r="J240" s="1">
        <v>22868</v>
      </c>
      <c r="K240" s="1">
        <v>548832</v>
      </c>
    </row>
    <row r="241" spans="1:11" x14ac:dyDescent="0.3">
      <c r="A241" s="1">
        <v>240</v>
      </c>
      <c r="B241" s="1" t="s">
        <v>13</v>
      </c>
      <c r="C241" s="1" t="s">
        <v>16</v>
      </c>
      <c r="D241" s="1" t="s">
        <v>28</v>
      </c>
      <c r="E241" s="1" t="s">
        <v>36</v>
      </c>
      <c r="F241" s="1" t="s">
        <v>57</v>
      </c>
      <c r="G241" s="2">
        <v>45265</v>
      </c>
      <c r="H241" s="1" t="s">
        <v>69</v>
      </c>
      <c r="I241" s="1">
        <v>42</v>
      </c>
      <c r="J241" s="1">
        <v>15893</v>
      </c>
      <c r="K241" s="1">
        <v>667506</v>
      </c>
    </row>
    <row r="242" spans="1:11" x14ac:dyDescent="0.3">
      <c r="A242" s="1">
        <v>241</v>
      </c>
      <c r="B242" s="1" t="s">
        <v>12</v>
      </c>
      <c r="C242" s="1" t="s">
        <v>18</v>
      </c>
      <c r="D242" s="1" t="s">
        <v>22</v>
      </c>
      <c r="E242" s="1" t="s">
        <v>39</v>
      </c>
      <c r="F242" s="1" t="s">
        <v>46</v>
      </c>
      <c r="G242" s="2">
        <v>44980</v>
      </c>
      <c r="H242" s="1" t="s">
        <v>70</v>
      </c>
      <c r="I242" s="1">
        <v>49</v>
      </c>
      <c r="J242" s="1">
        <v>27128</v>
      </c>
      <c r="K242" s="1">
        <v>1329272</v>
      </c>
    </row>
    <row r="243" spans="1:11" x14ac:dyDescent="0.3">
      <c r="A243" s="1">
        <v>242</v>
      </c>
      <c r="B243" s="1" t="s">
        <v>15</v>
      </c>
      <c r="C243" s="1" t="s">
        <v>17</v>
      </c>
      <c r="D243" s="1" t="s">
        <v>25</v>
      </c>
      <c r="E243" s="1" t="s">
        <v>37</v>
      </c>
      <c r="F243" s="1" t="s">
        <v>60</v>
      </c>
      <c r="G243" s="2">
        <v>44979</v>
      </c>
      <c r="H243" s="1" t="s">
        <v>70</v>
      </c>
      <c r="I243" s="1">
        <v>27</v>
      </c>
      <c r="J243" s="1">
        <v>27732</v>
      </c>
      <c r="K243" s="1">
        <v>748764</v>
      </c>
    </row>
    <row r="244" spans="1:11" x14ac:dyDescent="0.3">
      <c r="A244" s="1">
        <v>243</v>
      </c>
      <c r="B244" s="1" t="s">
        <v>14</v>
      </c>
      <c r="C244" s="1" t="s">
        <v>18</v>
      </c>
      <c r="D244" s="1" t="s">
        <v>25</v>
      </c>
      <c r="E244" s="1" t="s">
        <v>38</v>
      </c>
      <c r="F244" s="1" t="s">
        <v>48</v>
      </c>
      <c r="G244" s="2">
        <v>45001</v>
      </c>
      <c r="H244" s="1" t="s">
        <v>65</v>
      </c>
      <c r="I244" s="1">
        <v>46</v>
      </c>
      <c r="J244" s="1">
        <v>46253</v>
      </c>
      <c r="K244" s="1">
        <v>2127638</v>
      </c>
    </row>
    <row r="245" spans="1:11" x14ac:dyDescent="0.3">
      <c r="A245" s="1">
        <v>244</v>
      </c>
      <c r="B245" s="1" t="s">
        <v>15</v>
      </c>
      <c r="C245" s="1" t="s">
        <v>18</v>
      </c>
      <c r="D245" s="1" t="s">
        <v>33</v>
      </c>
      <c r="E245" s="1" t="s">
        <v>36</v>
      </c>
      <c r="F245" s="1" t="s">
        <v>41</v>
      </c>
      <c r="G245" s="2">
        <v>45213</v>
      </c>
      <c r="H245" s="1" t="s">
        <v>63</v>
      </c>
      <c r="I245" s="1">
        <v>37</v>
      </c>
      <c r="J245" s="1">
        <v>13276</v>
      </c>
      <c r="K245" s="1">
        <v>491212</v>
      </c>
    </row>
    <row r="246" spans="1:11" x14ac:dyDescent="0.3">
      <c r="A246" s="1">
        <v>245</v>
      </c>
      <c r="B246" s="1" t="s">
        <v>15</v>
      </c>
      <c r="C246" s="1" t="s">
        <v>17</v>
      </c>
      <c r="D246" s="1" t="s">
        <v>21</v>
      </c>
      <c r="E246" s="1" t="s">
        <v>39</v>
      </c>
      <c r="F246" s="1" t="s">
        <v>51</v>
      </c>
      <c r="G246" s="2">
        <v>45149</v>
      </c>
      <c r="H246" s="1" t="s">
        <v>72</v>
      </c>
      <c r="I246" s="1">
        <v>48</v>
      </c>
      <c r="J246" s="1">
        <v>32628</v>
      </c>
      <c r="K246" s="1">
        <v>1566144</v>
      </c>
    </row>
    <row r="247" spans="1:11" x14ac:dyDescent="0.3">
      <c r="A247" s="1">
        <v>246</v>
      </c>
      <c r="B247" s="1" t="s">
        <v>13</v>
      </c>
      <c r="C247" s="1" t="s">
        <v>16</v>
      </c>
      <c r="D247" s="1" t="s">
        <v>31</v>
      </c>
      <c r="E247" s="1" t="s">
        <v>36</v>
      </c>
      <c r="F247" s="1" t="s">
        <v>46</v>
      </c>
      <c r="G247" s="2">
        <v>45196</v>
      </c>
      <c r="H247" s="1" t="s">
        <v>66</v>
      </c>
      <c r="I247" s="1">
        <v>22</v>
      </c>
      <c r="J247" s="1">
        <v>45907</v>
      </c>
      <c r="K247" s="1">
        <v>1009954</v>
      </c>
    </row>
    <row r="248" spans="1:11" x14ac:dyDescent="0.3">
      <c r="A248" s="1">
        <v>247</v>
      </c>
      <c r="B248" s="1" t="s">
        <v>11</v>
      </c>
      <c r="C248" s="1" t="s">
        <v>16</v>
      </c>
      <c r="D248" s="1" t="s">
        <v>22</v>
      </c>
      <c r="E248" s="1" t="s">
        <v>37</v>
      </c>
      <c r="F248" s="1" t="s">
        <v>57</v>
      </c>
      <c r="G248" s="2">
        <v>44952</v>
      </c>
      <c r="H248" s="1" t="s">
        <v>68</v>
      </c>
      <c r="I248" s="1">
        <v>7</v>
      </c>
      <c r="J248" s="1">
        <v>1219</v>
      </c>
      <c r="K248" s="1">
        <v>8533</v>
      </c>
    </row>
    <row r="249" spans="1:11" x14ac:dyDescent="0.3">
      <c r="A249" s="1">
        <v>248</v>
      </c>
      <c r="B249" s="1" t="s">
        <v>11</v>
      </c>
      <c r="C249" s="1" t="s">
        <v>16</v>
      </c>
      <c r="D249" s="1" t="s">
        <v>19</v>
      </c>
      <c r="E249" s="1" t="s">
        <v>39</v>
      </c>
      <c r="F249" s="1" t="s">
        <v>59</v>
      </c>
      <c r="G249" s="2">
        <v>45242</v>
      </c>
      <c r="H249" s="1" t="s">
        <v>62</v>
      </c>
      <c r="I249" s="1">
        <v>16</v>
      </c>
      <c r="J249" s="1">
        <v>37686</v>
      </c>
      <c r="K249" s="1">
        <v>602976</v>
      </c>
    </row>
    <row r="250" spans="1:11" x14ac:dyDescent="0.3">
      <c r="A250" s="1">
        <v>249</v>
      </c>
      <c r="B250" s="1" t="s">
        <v>14</v>
      </c>
      <c r="C250" s="1" t="s">
        <v>18</v>
      </c>
      <c r="D250" s="1" t="s">
        <v>32</v>
      </c>
      <c r="E250" s="1" t="s">
        <v>39</v>
      </c>
      <c r="F250" s="1" t="s">
        <v>57</v>
      </c>
      <c r="G250" s="2">
        <v>45240</v>
      </c>
      <c r="H250" s="1" t="s">
        <v>62</v>
      </c>
      <c r="I250" s="1">
        <v>8</v>
      </c>
      <c r="J250" s="1">
        <v>17182</v>
      </c>
      <c r="K250" s="1">
        <v>137456</v>
      </c>
    </row>
    <row r="251" spans="1:11" x14ac:dyDescent="0.3">
      <c r="A251" s="1">
        <v>250</v>
      </c>
      <c r="B251" s="1" t="s">
        <v>12</v>
      </c>
      <c r="C251" s="1" t="s">
        <v>18</v>
      </c>
      <c r="D251" s="1" t="s">
        <v>28</v>
      </c>
      <c r="E251" s="1" t="s">
        <v>40</v>
      </c>
      <c r="F251" s="1" t="s">
        <v>48</v>
      </c>
      <c r="G251" s="2">
        <v>44995</v>
      </c>
      <c r="H251" s="1" t="s">
        <v>65</v>
      </c>
      <c r="I251" s="1">
        <v>32</v>
      </c>
      <c r="J251" s="1">
        <v>28922</v>
      </c>
      <c r="K251" s="1">
        <v>925504</v>
      </c>
    </row>
    <row r="252" spans="1:11" x14ac:dyDescent="0.3">
      <c r="A252" s="1">
        <v>251</v>
      </c>
      <c r="B252" s="1" t="s">
        <v>12</v>
      </c>
      <c r="C252" s="1" t="s">
        <v>17</v>
      </c>
      <c r="D252" s="1" t="s">
        <v>20</v>
      </c>
      <c r="E252" s="1" t="s">
        <v>38</v>
      </c>
      <c r="F252" s="1" t="s">
        <v>55</v>
      </c>
      <c r="G252" s="2">
        <v>44949</v>
      </c>
      <c r="H252" s="1" t="s">
        <v>68</v>
      </c>
      <c r="I252" s="1">
        <v>16</v>
      </c>
      <c r="J252" s="1">
        <v>29928</v>
      </c>
      <c r="K252" s="1">
        <v>478848</v>
      </c>
    </row>
    <row r="253" spans="1:11" x14ac:dyDescent="0.3">
      <c r="A253" s="1">
        <v>252</v>
      </c>
      <c r="B253" s="1" t="s">
        <v>13</v>
      </c>
      <c r="C253" s="1" t="s">
        <v>17</v>
      </c>
      <c r="D253" s="1" t="s">
        <v>29</v>
      </c>
      <c r="E253" s="1" t="s">
        <v>35</v>
      </c>
      <c r="F253" s="1" t="s">
        <v>58</v>
      </c>
      <c r="G253" s="2">
        <v>45010</v>
      </c>
      <c r="H253" s="1" t="s">
        <v>65</v>
      </c>
      <c r="I253" s="1">
        <v>41</v>
      </c>
      <c r="J253" s="1">
        <v>15926</v>
      </c>
      <c r="K253" s="1">
        <v>652966</v>
      </c>
    </row>
    <row r="254" spans="1:11" x14ac:dyDescent="0.3">
      <c r="A254" s="1">
        <v>253</v>
      </c>
      <c r="B254" s="1" t="s">
        <v>14</v>
      </c>
      <c r="C254" s="1" t="s">
        <v>17</v>
      </c>
      <c r="D254" s="1" t="s">
        <v>26</v>
      </c>
      <c r="E254" s="1" t="s">
        <v>38</v>
      </c>
      <c r="F254" s="1" t="s">
        <v>49</v>
      </c>
      <c r="G254" s="2">
        <v>44931</v>
      </c>
      <c r="H254" s="1" t="s">
        <v>68</v>
      </c>
      <c r="I254" s="1">
        <v>47</v>
      </c>
      <c r="J254" s="1">
        <v>3363</v>
      </c>
      <c r="K254" s="1">
        <v>158061</v>
      </c>
    </row>
    <row r="255" spans="1:11" x14ac:dyDescent="0.3">
      <c r="A255" s="1">
        <v>254</v>
      </c>
      <c r="B255" s="1" t="s">
        <v>15</v>
      </c>
      <c r="C255" s="1" t="s">
        <v>18</v>
      </c>
      <c r="D255" s="1" t="s">
        <v>21</v>
      </c>
      <c r="E255" s="1" t="s">
        <v>39</v>
      </c>
      <c r="F255" s="1" t="s">
        <v>46</v>
      </c>
      <c r="G255" s="2">
        <v>45172</v>
      </c>
      <c r="H255" s="1" t="s">
        <v>66</v>
      </c>
      <c r="I255" s="1">
        <v>32</v>
      </c>
      <c r="J255" s="1">
        <v>34972</v>
      </c>
      <c r="K255" s="1">
        <v>1119104</v>
      </c>
    </row>
    <row r="256" spans="1:11" x14ac:dyDescent="0.3">
      <c r="A256" s="1">
        <v>255</v>
      </c>
      <c r="B256" s="1" t="s">
        <v>15</v>
      </c>
      <c r="C256" s="1" t="s">
        <v>16</v>
      </c>
      <c r="D256" s="1" t="s">
        <v>33</v>
      </c>
      <c r="E256" s="1" t="s">
        <v>37</v>
      </c>
      <c r="F256" s="1" t="s">
        <v>57</v>
      </c>
      <c r="G256" s="2">
        <v>45023</v>
      </c>
      <c r="H256" s="1" t="s">
        <v>67</v>
      </c>
      <c r="I256" s="1">
        <v>6</v>
      </c>
      <c r="J256" s="1">
        <v>7971</v>
      </c>
      <c r="K256" s="1">
        <v>47826</v>
      </c>
    </row>
    <row r="257" spans="1:11" x14ac:dyDescent="0.3">
      <c r="A257" s="1">
        <v>256</v>
      </c>
      <c r="B257" s="1" t="s">
        <v>11</v>
      </c>
      <c r="C257" s="1" t="s">
        <v>16</v>
      </c>
      <c r="D257" s="1" t="s">
        <v>19</v>
      </c>
      <c r="E257" s="1" t="s">
        <v>36</v>
      </c>
      <c r="F257" s="1" t="s">
        <v>47</v>
      </c>
      <c r="G257" s="2">
        <v>45003</v>
      </c>
      <c r="H257" s="1" t="s">
        <v>65</v>
      </c>
      <c r="I257" s="1">
        <v>32</v>
      </c>
      <c r="J257" s="1">
        <v>47991</v>
      </c>
      <c r="K257" s="1">
        <v>1535712</v>
      </c>
    </row>
    <row r="258" spans="1:11" x14ac:dyDescent="0.3">
      <c r="A258" s="1">
        <v>257</v>
      </c>
      <c r="B258" s="1" t="s">
        <v>11</v>
      </c>
      <c r="C258" s="1" t="s">
        <v>16</v>
      </c>
      <c r="D258" s="1" t="s">
        <v>24</v>
      </c>
      <c r="E258" s="1" t="s">
        <v>36</v>
      </c>
      <c r="F258" s="1" t="s">
        <v>45</v>
      </c>
      <c r="G258" s="2">
        <v>45117</v>
      </c>
      <c r="H258" s="1" t="s">
        <v>64</v>
      </c>
      <c r="I258" s="1">
        <v>37</v>
      </c>
      <c r="J258" s="1">
        <v>36026</v>
      </c>
      <c r="K258" s="1">
        <v>1332962</v>
      </c>
    </row>
    <row r="259" spans="1:11" x14ac:dyDescent="0.3">
      <c r="A259" s="1">
        <v>258</v>
      </c>
      <c r="B259" s="1" t="s">
        <v>13</v>
      </c>
      <c r="C259" s="1" t="s">
        <v>16</v>
      </c>
      <c r="D259" s="1" t="s">
        <v>29</v>
      </c>
      <c r="E259" s="1" t="s">
        <v>38</v>
      </c>
      <c r="F259" s="1" t="s">
        <v>42</v>
      </c>
      <c r="G259" s="2">
        <v>45175</v>
      </c>
      <c r="H259" s="1" t="s">
        <v>66</v>
      </c>
      <c r="I259" s="1">
        <v>22</v>
      </c>
      <c r="J259" s="1">
        <v>5185</v>
      </c>
      <c r="K259" s="1">
        <v>114070</v>
      </c>
    </row>
    <row r="260" spans="1:11" x14ac:dyDescent="0.3">
      <c r="A260" s="1">
        <v>259</v>
      </c>
      <c r="B260" s="1" t="s">
        <v>13</v>
      </c>
      <c r="C260" s="1" t="s">
        <v>17</v>
      </c>
      <c r="D260" s="1" t="s">
        <v>23</v>
      </c>
      <c r="E260" s="1" t="s">
        <v>36</v>
      </c>
      <c r="F260" s="1" t="s">
        <v>47</v>
      </c>
      <c r="G260" s="2">
        <v>45272</v>
      </c>
      <c r="H260" s="1" t="s">
        <v>69</v>
      </c>
      <c r="I260" s="1">
        <v>41</v>
      </c>
      <c r="J260" s="1">
        <v>8075</v>
      </c>
      <c r="K260" s="1">
        <v>331075</v>
      </c>
    </row>
    <row r="261" spans="1:11" x14ac:dyDescent="0.3">
      <c r="A261" s="1">
        <v>260</v>
      </c>
      <c r="B261" s="1" t="s">
        <v>11</v>
      </c>
      <c r="C261" s="1" t="s">
        <v>16</v>
      </c>
      <c r="D261" s="1" t="s">
        <v>28</v>
      </c>
      <c r="E261" s="1" t="s">
        <v>40</v>
      </c>
      <c r="F261" s="1" t="s">
        <v>49</v>
      </c>
      <c r="G261" s="2">
        <v>45084</v>
      </c>
      <c r="H261" s="1" t="s">
        <v>71</v>
      </c>
      <c r="I261" s="1">
        <v>40</v>
      </c>
      <c r="J261" s="1">
        <v>25058</v>
      </c>
      <c r="K261" s="1">
        <v>1002320</v>
      </c>
    </row>
    <row r="262" spans="1:11" x14ac:dyDescent="0.3">
      <c r="A262" s="1">
        <v>261</v>
      </c>
      <c r="B262" s="1" t="s">
        <v>14</v>
      </c>
      <c r="C262" s="1" t="s">
        <v>18</v>
      </c>
      <c r="D262" s="1" t="s">
        <v>30</v>
      </c>
      <c r="E262" s="1" t="s">
        <v>37</v>
      </c>
      <c r="F262" s="1" t="s">
        <v>55</v>
      </c>
      <c r="G262" s="2">
        <v>45262</v>
      </c>
      <c r="H262" s="1" t="s">
        <v>69</v>
      </c>
      <c r="I262" s="1">
        <v>13</v>
      </c>
      <c r="J262" s="1">
        <v>23140</v>
      </c>
      <c r="K262" s="1">
        <v>300820</v>
      </c>
    </row>
    <row r="263" spans="1:11" x14ac:dyDescent="0.3">
      <c r="A263" s="1">
        <v>262</v>
      </c>
      <c r="B263" s="1" t="s">
        <v>11</v>
      </c>
      <c r="C263" s="1" t="s">
        <v>18</v>
      </c>
      <c r="D263" s="1" t="s">
        <v>20</v>
      </c>
      <c r="E263" s="1" t="s">
        <v>36</v>
      </c>
      <c r="F263" s="1" t="s">
        <v>45</v>
      </c>
      <c r="G263" s="2">
        <v>45245</v>
      </c>
      <c r="H263" s="1" t="s">
        <v>62</v>
      </c>
      <c r="I263" s="1">
        <v>48</v>
      </c>
      <c r="J263" s="1">
        <v>29849</v>
      </c>
      <c r="K263" s="1">
        <v>1432752</v>
      </c>
    </row>
    <row r="264" spans="1:11" x14ac:dyDescent="0.3">
      <c r="A264" s="1">
        <v>263</v>
      </c>
      <c r="B264" s="1" t="s">
        <v>14</v>
      </c>
      <c r="C264" s="1" t="s">
        <v>17</v>
      </c>
      <c r="D264" s="1" t="s">
        <v>20</v>
      </c>
      <c r="E264" s="1" t="s">
        <v>40</v>
      </c>
      <c r="F264" s="1" t="s">
        <v>44</v>
      </c>
      <c r="G264" s="2">
        <v>44991</v>
      </c>
      <c r="H264" s="1" t="s">
        <v>65</v>
      </c>
      <c r="I264" s="1">
        <v>10</v>
      </c>
      <c r="J264" s="1">
        <v>22473</v>
      </c>
      <c r="K264" s="1">
        <v>224730</v>
      </c>
    </row>
    <row r="265" spans="1:11" x14ac:dyDescent="0.3">
      <c r="A265" s="1">
        <v>264</v>
      </c>
      <c r="B265" s="1" t="s">
        <v>14</v>
      </c>
      <c r="C265" s="1" t="s">
        <v>18</v>
      </c>
      <c r="D265" s="1" t="s">
        <v>24</v>
      </c>
      <c r="E265" s="1" t="s">
        <v>36</v>
      </c>
      <c r="F265" s="1" t="s">
        <v>54</v>
      </c>
      <c r="G265" s="2">
        <v>45154</v>
      </c>
      <c r="H265" s="1" t="s">
        <v>72</v>
      </c>
      <c r="I265" s="1">
        <v>49</v>
      </c>
      <c r="J265" s="1">
        <v>8498</v>
      </c>
      <c r="K265" s="1">
        <v>416402</v>
      </c>
    </row>
    <row r="266" spans="1:11" x14ac:dyDescent="0.3">
      <c r="A266" s="1">
        <v>265</v>
      </c>
      <c r="B266" s="1" t="s">
        <v>11</v>
      </c>
      <c r="C266" s="1" t="s">
        <v>17</v>
      </c>
      <c r="D266" s="1" t="s">
        <v>22</v>
      </c>
      <c r="E266" s="1" t="s">
        <v>35</v>
      </c>
      <c r="F266" s="1" t="s">
        <v>52</v>
      </c>
      <c r="G266" s="2">
        <v>45238</v>
      </c>
      <c r="H266" s="1" t="s">
        <v>62</v>
      </c>
      <c r="I266" s="1">
        <v>19</v>
      </c>
      <c r="J266" s="1">
        <v>24730</v>
      </c>
      <c r="K266" s="1">
        <v>469870</v>
      </c>
    </row>
    <row r="267" spans="1:11" x14ac:dyDescent="0.3">
      <c r="A267" s="1">
        <v>266</v>
      </c>
      <c r="B267" s="1" t="s">
        <v>13</v>
      </c>
      <c r="C267" s="1" t="s">
        <v>17</v>
      </c>
      <c r="D267" s="1" t="s">
        <v>22</v>
      </c>
      <c r="E267" s="1" t="s">
        <v>38</v>
      </c>
      <c r="F267" s="1" t="s">
        <v>52</v>
      </c>
      <c r="G267" s="2">
        <v>45194</v>
      </c>
      <c r="H267" s="1" t="s">
        <v>66</v>
      </c>
      <c r="I267" s="1">
        <v>5</v>
      </c>
      <c r="J267" s="1">
        <v>46553</v>
      </c>
      <c r="K267" s="1">
        <v>232765</v>
      </c>
    </row>
    <row r="268" spans="1:11" x14ac:dyDescent="0.3">
      <c r="A268" s="1">
        <v>267</v>
      </c>
      <c r="B268" s="1" t="s">
        <v>13</v>
      </c>
      <c r="C268" s="1" t="s">
        <v>17</v>
      </c>
      <c r="D268" s="1" t="s">
        <v>29</v>
      </c>
      <c r="E268" s="1" t="s">
        <v>36</v>
      </c>
      <c r="F268" s="1" t="s">
        <v>41</v>
      </c>
      <c r="G268" s="2">
        <v>45036</v>
      </c>
      <c r="H268" s="1" t="s">
        <v>67</v>
      </c>
      <c r="I268" s="1">
        <v>6</v>
      </c>
      <c r="J268" s="1">
        <v>13263</v>
      </c>
      <c r="K268" s="1">
        <v>79578</v>
      </c>
    </row>
    <row r="269" spans="1:11" x14ac:dyDescent="0.3">
      <c r="A269" s="1">
        <v>268</v>
      </c>
      <c r="B269" s="1" t="s">
        <v>14</v>
      </c>
      <c r="C269" s="1" t="s">
        <v>16</v>
      </c>
      <c r="D269" s="1" t="s">
        <v>28</v>
      </c>
      <c r="E269" s="1" t="s">
        <v>37</v>
      </c>
      <c r="F269" s="1" t="s">
        <v>42</v>
      </c>
      <c r="G269" s="2">
        <v>44952</v>
      </c>
      <c r="H269" s="1" t="s">
        <v>68</v>
      </c>
      <c r="I269" s="1">
        <v>31</v>
      </c>
      <c r="J269" s="1">
        <v>21998</v>
      </c>
      <c r="K269" s="1">
        <v>681938</v>
      </c>
    </row>
    <row r="270" spans="1:11" x14ac:dyDescent="0.3">
      <c r="A270" s="1">
        <v>269</v>
      </c>
      <c r="B270" s="1" t="s">
        <v>11</v>
      </c>
      <c r="C270" s="1" t="s">
        <v>17</v>
      </c>
      <c r="D270" s="1" t="s">
        <v>20</v>
      </c>
      <c r="E270" s="1" t="s">
        <v>36</v>
      </c>
      <c r="F270" s="1" t="s">
        <v>51</v>
      </c>
      <c r="G270" s="2">
        <v>45122</v>
      </c>
      <c r="H270" s="1" t="s">
        <v>64</v>
      </c>
      <c r="I270" s="1">
        <v>48</v>
      </c>
      <c r="J270" s="1">
        <v>21663</v>
      </c>
      <c r="K270" s="1">
        <v>1039824</v>
      </c>
    </row>
    <row r="271" spans="1:11" x14ac:dyDescent="0.3">
      <c r="A271" s="1">
        <v>270</v>
      </c>
      <c r="B271" s="1" t="s">
        <v>13</v>
      </c>
      <c r="C271" s="1" t="s">
        <v>18</v>
      </c>
      <c r="D271" s="1" t="s">
        <v>28</v>
      </c>
      <c r="E271" s="1" t="s">
        <v>40</v>
      </c>
      <c r="F271" s="1" t="s">
        <v>48</v>
      </c>
      <c r="G271" s="2">
        <v>44948</v>
      </c>
      <c r="H271" s="1" t="s">
        <v>68</v>
      </c>
      <c r="I271" s="1">
        <v>49</v>
      </c>
      <c r="J271" s="1">
        <v>20748</v>
      </c>
      <c r="K271" s="1">
        <v>1016652</v>
      </c>
    </row>
    <row r="272" spans="1:11" x14ac:dyDescent="0.3">
      <c r="A272" s="1">
        <v>271</v>
      </c>
      <c r="B272" s="1" t="s">
        <v>15</v>
      </c>
      <c r="C272" s="1" t="s">
        <v>16</v>
      </c>
      <c r="D272" s="1" t="s">
        <v>23</v>
      </c>
      <c r="E272" s="1" t="s">
        <v>40</v>
      </c>
      <c r="F272" s="1" t="s">
        <v>50</v>
      </c>
      <c r="G272" s="2">
        <v>45256</v>
      </c>
      <c r="H272" s="1" t="s">
        <v>62</v>
      </c>
      <c r="I272" s="1">
        <v>25</v>
      </c>
      <c r="J272" s="1">
        <v>24758</v>
      </c>
      <c r="K272" s="1">
        <v>618950</v>
      </c>
    </row>
    <row r="273" spans="1:11" x14ac:dyDescent="0.3">
      <c r="A273" s="1">
        <v>272</v>
      </c>
      <c r="B273" s="1" t="s">
        <v>14</v>
      </c>
      <c r="C273" s="1" t="s">
        <v>17</v>
      </c>
      <c r="D273" s="1" t="s">
        <v>29</v>
      </c>
      <c r="E273" s="1" t="s">
        <v>39</v>
      </c>
      <c r="F273" s="1" t="s">
        <v>57</v>
      </c>
      <c r="G273" s="2">
        <v>44970</v>
      </c>
      <c r="H273" s="1" t="s">
        <v>70</v>
      </c>
      <c r="I273" s="1">
        <v>31</v>
      </c>
      <c r="J273" s="1">
        <v>22202</v>
      </c>
      <c r="K273" s="1">
        <v>688262</v>
      </c>
    </row>
    <row r="274" spans="1:11" x14ac:dyDescent="0.3">
      <c r="A274" s="1">
        <v>273</v>
      </c>
      <c r="B274" s="1" t="s">
        <v>13</v>
      </c>
      <c r="C274" s="1" t="s">
        <v>17</v>
      </c>
      <c r="D274" s="1" t="s">
        <v>26</v>
      </c>
      <c r="E274" s="1" t="s">
        <v>35</v>
      </c>
      <c r="F274" s="1" t="s">
        <v>55</v>
      </c>
      <c r="G274" s="2">
        <v>45101</v>
      </c>
      <c r="H274" s="1" t="s">
        <v>71</v>
      </c>
      <c r="I274" s="1">
        <v>29</v>
      </c>
      <c r="J274" s="1">
        <v>18881</v>
      </c>
      <c r="K274" s="1">
        <v>547549</v>
      </c>
    </row>
    <row r="275" spans="1:11" x14ac:dyDescent="0.3">
      <c r="A275" s="1">
        <v>274</v>
      </c>
      <c r="B275" s="1" t="s">
        <v>15</v>
      </c>
      <c r="C275" s="1" t="s">
        <v>16</v>
      </c>
      <c r="D275" s="1" t="s">
        <v>34</v>
      </c>
      <c r="E275" s="1" t="s">
        <v>35</v>
      </c>
      <c r="F275" s="1" t="s">
        <v>55</v>
      </c>
      <c r="G275" s="2">
        <v>45268</v>
      </c>
      <c r="H275" s="1" t="s">
        <v>69</v>
      </c>
      <c r="I275" s="1">
        <v>34</v>
      </c>
      <c r="J275" s="1">
        <v>31952</v>
      </c>
      <c r="K275" s="1">
        <v>1086368</v>
      </c>
    </row>
    <row r="276" spans="1:11" x14ac:dyDescent="0.3">
      <c r="A276" s="1">
        <v>275</v>
      </c>
      <c r="B276" s="1" t="s">
        <v>12</v>
      </c>
      <c r="C276" s="1" t="s">
        <v>18</v>
      </c>
      <c r="D276" s="1" t="s">
        <v>22</v>
      </c>
      <c r="E276" s="1" t="s">
        <v>37</v>
      </c>
      <c r="F276" s="1" t="s">
        <v>53</v>
      </c>
      <c r="G276" s="2">
        <v>45240</v>
      </c>
      <c r="H276" s="1" t="s">
        <v>62</v>
      </c>
      <c r="I276" s="1">
        <v>36</v>
      </c>
      <c r="J276" s="1">
        <v>6179</v>
      </c>
      <c r="K276" s="1">
        <v>222444</v>
      </c>
    </row>
    <row r="277" spans="1:11" x14ac:dyDescent="0.3">
      <c r="A277" s="1">
        <v>276</v>
      </c>
      <c r="B277" s="1" t="s">
        <v>12</v>
      </c>
      <c r="C277" s="1" t="s">
        <v>18</v>
      </c>
      <c r="D277" s="1" t="s">
        <v>34</v>
      </c>
      <c r="E277" s="1" t="s">
        <v>40</v>
      </c>
      <c r="F277" s="1" t="s">
        <v>45</v>
      </c>
      <c r="G277" s="2">
        <v>45132</v>
      </c>
      <c r="H277" s="1" t="s">
        <v>64</v>
      </c>
      <c r="I277" s="1">
        <v>3</v>
      </c>
      <c r="J277" s="1">
        <v>20870</v>
      </c>
      <c r="K277" s="1">
        <v>62610</v>
      </c>
    </row>
    <row r="278" spans="1:11" x14ac:dyDescent="0.3">
      <c r="A278" s="1">
        <v>277</v>
      </c>
      <c r="B278" s="1" t="s">
        <v>13</v>
      </c>
      <c r="C278" s="1" t="s">
        <v>18</v>
      </c>
      <c r="D278" s="1" t="s">
        <v>25</v>
      </c>
      <c r="E278" s="1" t="s">
        <v>35</v>
      </c>
      <c r="F278" s="1" t="s">
        <v>51</v>
      </c>
      <c r="G278" s="2">
        <v>45003</v>
      </c>
      <c r="H278" s="1" t="s">
        <v>65</v>
      </c>
      <c r="I278" s="1">
        <v>11</v>
      </c>
      <c r="J278" s="1">
        <v>28213</v>
      </c>
      <c r="K278" s="1">
        <v>310343</v>
      </c>
    </row>
    <row r="279" spans="1:11" x14ac:dyDescent="0.3">
      <c r="A279" s="1">
        <v>278</v>
      </c>
      <c r="B279" s="1" t="s">
        <v>14</v>
      </c>
      <c r="C279" s="1" t="s">
        <v>18</v>
      </c>
      <c r="D279" s="1" t="s">
        <v>32</v>
      </c>
      <c r="E279" s="1" t="s">
        <v>35</v>
      </c>
      <c r="F279" s="1" t="s">
        <v>50</v>
      </c>
      <c r="G279" s="2">
        <v>45248</v>
      </c>
      <c r="H279" s="1" t="s">
        <v>62</v>
      </c>
      <c r="I279" s="1">
        <v>34</v>
      </c>
      <c r="J279" s="1">
        <v>11556</v>
      </c>
      <c r="K279" s="1">
        <v>392904</v>
      </c>
    </row>
    <row r="280" spans="1:11" x14ac:dyDescent="0.3">
      <c r="A280" s="1">
        <v>279</v>
      </c>
      <c r="B280" s="1" t="s">
        <v>12</v>
      </c>
      <c r="C280" s="1" t="s">
        <v>16</v>
      </c>
      <c r="D280" s="1" t="s">
        <v>24</v>
      </c>
      <c r="E280" s="1" t="s">
        <v>39</v>
      </c>
      <c r="F280" s="1" t="s">
        <v>55</v>
      </c>
      <c r="G280" s="2">
        <v>45102</v>
      </c>
      <c r="H280" s="1" t="s">
        <v>71</v>
      </c>
      <c r="I280" s="1">
        <v>5</v>
      </c>
      <c r="J280" s="1">
        <v>38473</v>
      </c>
      <c r="K280" s="1">
        <v>192365</v>
      </c>
    </row>
    <row r="281" spans="1:11" x14ac:dyDescent="0.3">
      <c r="A281" s="1">
        <v>280</v>
      </c>
      <c r="B281" s="1" t="s">
        <v>13</v>
      </c>
      <c r="C281" s="1" t="s">
        <v>16</v>
      </c>
      <c r="D281" s="1" t="s">
        <v>29</v>
      </c>
      <c r="E281" s="1" t="s">
        <v>36</v>
      </c>
      <c r="F281" s="1" t="s">
        <v>43</v>
      </c>
      <c r="G281" s="2">
        <v>44969</v>
      </c>
      <c r="H281" s="1" t="s">
        <v>70</v>
      </c>
      <c r="I281" s="1">
        <v>50</v>
      </c>
      <c r="J281" s="1">
        <v>17783</v>
      </c>
      <c r="K281" s="1">
        <v>889150</v>
      </c>
    </row>
    <row r="282" spans="1:11" x14ac:dyDescent="0.3">
      <c r="A282" s="1">
        <v>281</v>
      </c>
      <c r="B282" s="1" t="s">
        <v>15</v>
      </c>
      <c r="C282" s="1" t="s">
        <v>17</v>
      </c>
      <c r="D282" s="1" t="s">
        <v>27</v>
      </c>
      <c r="E282" s="1" t="s">
        <v>39</v>
      </c>
      <c r="F282" s="1" t="s">
        <v>43</v>
      </c>
      <c r="G282" s="2">
        <v>45147</v>
      </c>
      <c r="H282" s="1" t="s">
        <v>72</v>
      </c>
      <c r="I282" s="1">
        <v>39</v>
      </c>
      <c r="J282" s="1">
        <v>36878</v>
      </c>
      <c r="K282" s="1">
        <v>1438242</v>
      </c>
    </row>
    <row r="283" spans="1:11" x14ac:dyDescent="0.3">
      <c r="A283" s="1">
        <v>282</v>
      </c>
      <c r="B283" s="1" t="s">
        <v>15</v>
      </c>
      <c r="C283" s="1" t="s">
        <v>18</v>
      </c>
      <c r="D283" s="1" t="s">
        <v>24</v>
      </c>
      <c r="E283" s="1" t="s">
        <v>38</v>
      </c>
      <c r="F283" s="1" t="s">
        <v>42</v>
      </c>
      <c r="G283" s="2">
        <v>45088</v>
      </c>
      <c r="H283" s="1" t="s">
        <v>71</v>
      </c>
      <c r="I283" s="1">
        <v>11</v>
      </c>
      <c r="J283" s="1">
        <v>4452</v>
      </c>
      <c r="K283" s="1">
        <v>48972</v>
      </c>
    </row>
    <row r="284" spans="1:11" x14ac:dyDescent="0.3">
      <c r="A284" s="1">
        <v>283</v>
      </c>
      <c r="B284" s="1" t="s">
        <v>15</v>
      </c>
      <c r="C284" s="1" t="s">
        <v>16</v>
      </c>
      <c r="D284" s="1" t="s">
        <v>34</v>
      </c>
      <c r="E284" s="1" t="s">
        <v>37</v>
      </c>
      <c r="F284" s="1" t="s">
        <v>55</v>
      </c>
      <c r="G284" s="2">
        <v>44930</v>
      </c>
      <c r="H284" s="1" t="s">
        <v>68</v>
      </c>
      <c r="I284" s="1">
        <v>15</v>
      </c>
      <c r="J284" s="1">
        <v>40670</v>
      </c>
      <c r="K284" s="1">
        <v>610050</v>
      </c>
    </row>
    <row r="285" spans="1:11" x14ac:dyDescent="0.3">
      <c r="A285" s="1">
        <v>284</v>
      </c>
      <c r="B285" s="1" t="s">
        <v>13</v>
      </c>
      <c r="C285" s="1" t="s">
        <v>17</v>
      </c>
      <c r="D285" s="1" t="s">
        <v>19</v>
      </c>
      <c r="E285" s="1" t="s">
        <v>35</v>
      </c>
      <c r="F285" s="1" t="s">
        <v>44</v>
      </c>
      <c r="G285" s="2">
        <v>45034</v>
      </c>
      <c r="H285" s="1" t="s">
        <v>67</v>
      </c>
      <c r="I285" s="1">
        <v>14</v>
      </c>
      <c r="J285" s="1">
        <v>5371</v>
      </c>
      <c r="K285" s="1">
        <v>75194</v>
      </c>
    </row>
    <row r="286" spans="1:11" x14ac:dyDescent="0.3">
      <c r="A286" s="1">
        <v>285</v>
      </c>
      <c r="B286" s="1" t="s">
        <v>12</v>
      </c>
      <c r="C286" s="1" t="s">
        <v>16</v>
      </c>
      <c r="D286" s="1" t="s">
        <v>27</v>
      </c>
      <c r="E286" s="1" t="s">
        <v>40</v>
      </c>
      <c r="F286" s="1" t="s">
        <v>59</v>
      </c>
      <c r="G286" s="2">
        <v>44997</v>
      </c>
      <c r="H286" s="1" t="s">
        <v>65</v>
      </c>
      <c r="I286" s="1">
        <v>20</v>
      </c>
      <c r="J286" s="1">
        <v>3957</v>
      </c>
      <c r="K286" s="1">
        <v>79140</v>
      </c>
    </row>
    <row r="287" spans="1:11" x14ac:dyDescent="0.3">
      <c r="A287" s="1">
        <v>286</v>
      </c>
      <c r="B287" s="1" t="s">
        <v>13</v>
      </c>
      <c r="C287" s="1" t="s">
        <v>18</v>
      </c>
      <c r="D287" s="1" t="s">
        <v>20</v>
      </c>
      <c r="E287" s="1" t="s">
        <v>40</v>
      </c>
      <c r="F287" s="1" t="s">
        <v>56</v>
      </c>
      <c r="G287" s="2">
        <v>45113</v>
      </c>
      <c r="H287" s="1" t="s">
        <v>64</v>
      </c>
      <c r="I287" s="1">
        <v>7</v>
      </c>
      <c r="J287" s="1">
        <v>35880</v>
      </c>
      <c r="K287" s="1">
        <v>251160</v>
      </c>
    </row>
    <row r="288" spans="1:11" x14ac:dyDescent="0.3">
      <c r="A288" s="1">
        <v>287</v>
      </c>
      <c r="B288" s="1" t="s">
        <v>13</v>
      </c>
      <c r="C288" s="1" t="s">
        <v>17</v>
      </c>
      <c r="D288" s="1" t="s">
        <v>28</v>
      </c>
      <c r="E288" s="1" t="s">
        <v>37</v>
      </c>
      <c r="F288" s="1" t="s">
        <v>48</v>
      </c>
      <c r="G288" s="2">
        <v>45123</v>
      </c>
      <c r="H288" s="1" t="s">
        <v>64</v>
      </c>
      <c r="I288" s="1">
        <v>26</v>
      </c>
      <c r="J288" s="1">
        <v>43475</v>
      </c>
      <c r="K288" s="1">
        <v>1130350</v>
      </c>
    </row>
    <row r="289" spans="1:11" x14ac:dyDescent="0.3">
      <c r="A289" s="1">
        <v>288</v>
      </c>
      <c r="B289" s="1" t="s">
        <v>12</v>
      </c>
      <c r="C289" s="1" t="s">
        <v>18</v>
      </c>
      <c r="D289" s="1" t="s">
        <v>24</v>
      </c>
      <c r="E289" s="1" t="s">
        <v>39</v>
      </c>
      <c r="F289" s="1" t="s">
        <v>41</v>
      </c>
      <c r="G289" s="2">
        <v>45256</v>
      </c>
      <c r="H289" s="1" t="s">
        <v>62</v>
      </c>
      <c r="I289" s="1">
        <v>34</v>
      </c>
      <c r="J289" s="1">
        <v>7233</v>
      </c>
      <c r="K289" s="1">
        <v>245922</v>
      </c>
    </row>
    <row r="290" spans="1:11" x14ac:dyDescent="0.3">
      <c r="A290" s="1">
        <v>289</v>
      </c>
      <c r="B290" s="1" t="s">
        <v>15</v>
      </c>
      <c r="C290" s="1" t="s">
        <v>17</v>
      </c>
      <c r="D290" s="1" t="s">
        <v>24</v>
      </c>
      <c r="E290" s="1" t="s">
        <v>35</v>
      </c>
      <c r="F290" s="1" t="s">
        <v>57</v>
      </c>
      <c r="G290" s="2">
        <v>45083</v>
      </c>
      <c r="H290" s="1" t="s">
        <v>71</v>
      </c>
      <c r="I290" s="1">
        <v>18</v>
      </c>
      <c r="J290" s="1">
        <v>5513</v>
      </c>
      <c r="K290" s="1">
        <v>99234</v>
      </c>
    </row>
    <row r="291" spans="1:11" x14ac:dyDescent="0.3">
      <c r="A291" s="1">
        <v>290</v>
      </c>
      <c r="B291" s="1" t="s">
        <v>14</v>
      </c>
      <c r="C291" s="1" t="s">
        <v>16</v>
      </c>
      <c r="D291" s="1" t="s">
        <v>34</v>
      </c>
      <c r="E291" s="1" t="s">
        <v>37</v>
      </c>
      <c r="F291" s="1" t="s">
        <v>52</v>
      </c>
      <c r="G291" s="2">
        <v>45161</v>
      </c>
      <c r="H291" s="1" t="s">
        <v>72</v>
      </c>
      <c r="I291" s="1">
        <v>41</v>
      </c>
      <c r="J291" s="1">
        <v>9088</v>
      </c>
      <c r="K291" s="1">
        <v>372608</v>
      </c>
    </row>
    <row r="292" spans="1:11" x14ac:dyDescent="0.3">
      <c r="A292" s="1">
        <v>291</v>
      </c>
      <c r="B292" s="1" t="s">
        <v>13</v>
      </c>
      <c r="C292" s="1" t="s">
        <v>18</v>
      </c>
      <c r="D292" s="1" t="s">
        <v>20</v>
      </c>
      <c r="E292" s="1" t="s">
        <v>37</v>
      </c>
      <c r="F292" s="1" t="s">
        <v>53</v>
      </c>
      <c r="G292" s="2">
        <v>45209</v>
      </c>
      <c r="H292" s="1" t="s">
        <v>63</v>
      </c>
      <c r="I292" s="1">
        <v>8</v>
      </c>
      <c r="J292" s="1">
        <v>29732</v>
      </c>
      <c r="K292" s="1">
        <v>237856</v>
      </c>
    </row>
    <row r="293" spans="1:11" x14ac:dyDescent="0.3">
      <c r="A293" s="1">
        <v>292</v>
      </c>
      <c r="B293" s="1" t="s">
        <v>11</v>
      </c>
      <c r="C293" s="1" t="s">
        <v>18</v>
      </c>
      <c r="D293" s="1" t="s">
        <v>30</v>
      </c>
      <c r="E293" s="1" t="s">
        <v>38</v>
      </c>
      <c r="F293" s="1" t="s">
        <v>42</v>
      </c>
      <c r="G293" s="2">
        <v>45203</v>
      </c>
      <c r="H293" s="1" t="s">
        <v>63</v>
      </c>
      <c r="I293" s="1">
        <v>35</v>
      </c>
      <c r="J293" s="1">
        <v>9701</v>
      </c>
      <c r="K293" s="1">
        <v>339535</v>
      </c>
    </row>
    <row r="294" spans="1:11" x14ac:dyDescent="0.3">
      <c r="A294" s="1">
        <v>293</v>
      </c>
      <c r="B294" s="1" t="s">
        <v>13</v>
      </c>
      <c r="C294" s="1" t="s">
        <v>17</v>
      </c>
      <c r="D294" s="1" t="s">
        <v>21</v>
      </c>
      <c r="E294" s="1" t="s">
        <v>38</v>
      </c>
      <c r="F294" s="1" t="s">
        <v>58</v>
      </c>
      <c r="G294" s="2">
        <v>45064</v>
      </c>
      <c r="H294" s="1" t="s">
        <v>61</v>
      </c>
      <c r="I294" s="1">
        <v>4</v>
      </c>
      <c r="J294" s="1">
        <v>48477</v>
      </c>
      <c r="K294" s="1">
        <v>193908</v>
      </c>
    </row>
    <row r="295" spans="1:11" x14ac:dyDescent="0.3">
      <c r="A295" s="1">
        <v>294</v>
      </c>
      <c r="B295" s="1" t="s">
        <v>15</v>
      </c>
      <c r="C295" s="1" t="s">
        <v>17</v>
      </c>
      <c r="D295" s="1" t="s">
        <v>32</v>
      </c>
      <c r="E295" s="1" t="s">
        <v>36</v>
      </c>
      <c r="F295" s="1" t="s">
        <v>49</v>
      </c>
      <c r="G295" s="2">
        <v>45193</v>
      </c>
      <c r="H295" s="1" t="s">
        <v>66</v>
      </c>
      <c r="I295" s="1">
        <v>2</v>
      </c>
      <c r="J295" s="1">
        <v>7755</v>
      </c>
      <c r="K295" s="1">
        <v>15510</v>
      </c>
    </row>
    <row r="296" spans="1:11" x14ac:dyDescent="0.3">
      <c r="A296" s="1">
        <v>295</v>
      </c>
      <c r="B296" s="1" t="s">
        <v>15</v>
      </c>
      <c r="C296" s="1" t="s">
        <v>17</v>
      </c>
      <c r="D296" s="1" t="s">
        <v>27</v>
      </c>
      <c r="E296" s="1" t="s">
        <v>36</v>
      </c>
      <c r="F296" s="1" t="s">
        <v>58</v>
      </c>
      <c r="G296" s="2">
        <v>45038</v>
      </c>
      <c r="H296" s="1" t="s">
        <v>67</v>
      </c>
      <c r="I296" s="1">
        <v>17</v>
      </c>
      <c r="J296" s="1">
        <v>8821</v>
      </c>
      <c r="K296" s="1">
        <v>149957</v>
      </c>
    </row>
    <row r="297" spans="1:11" x14ac:dyDescent="0.3">
      <c r="A297" s="1">
        <v>296</v>
      </c>
      <c r="B297" s="1" t="s">
        <v>12</v>
      </c>
      <c r="C297" s="1" t="s">
        <v>18</v>
      </c>
      <c r="D297" s="1" t="s">
        <v>21</v>
      </c>
      <c r="E297" s="1" t="s">
        <v>39</v>
      </c>
      <c r="F297" s="1" t="s">
        <v>50</v>
      </c>
      <c r="G297" s="2">
        <v>45029</v>
      </c>
      <c r="H297" s="1" t="s">
        <v>67</v>
      </c>
      <c r="I297" s="1">
        <v>22</v>
      </c>
      <c r="J297" s="1">
        <v>36646</v>
      </c>
      <c r="K297" s="1">
        <v>806212</v>
      </c>
    </row>
    <row r="298" spans="1:11" x14ac:dyDescent="0.3">
      <c r="A298" s="1">
        <v>297</v>
      </c>
      <c r="B298" s="1" t="s">
        <v>15</v>
      </c>
      <c r="C298" s="1" t="s">
        <v>18</v>
      </c>
      <c r="D298" s="1" t="s">
        <v>31</v>
      </c>
      <c r="E298" s="1" t="s">
        <v>40</v>
      </c>
      <c r="F298" s="1" t="s">
        <v>57</v>
      </c>
      <c r="G298" s="2">
        <v>45061</v>
      </c>
      <c r="H298" s="1" t="s">
        <v>61</v>
      </c>
      <c r="I298" s="1">
        <v>37</v>
      </c>
      <c r="J298" s="1">
        <v>11312</v>
      </c>
      <c r="K298" s="1">
        <v>418544</v>
      </c>
    </row>
    <row r="299" spans="1:11" x14ac:dyDescent="0.3">
      <c r="A299" s="1">
        <v>298</v>
      </c>
      <c r="B299" s="1" t="s">
        <v>13</v>
      </c>
      <c r="C299" s="1" t="s">
        <v>16</v>
      </c>
      <c r="D299" s="1" t="s">
        <v>23</v>
      </c>
      <c r="E299" s="1" t="s">
        <v>35</v>
      </c>
      <c r="F299" s="1" t="s">
        <v>51</v>
      </c>
      <c r="G299" s="2">
        <v>45023</v>
      </c>
      <c r="H299" s="1" t="s">
        <v>67</v>
      </c>
      <c r="I299" s="1">
        <v>8</v>
      </c>
      <c r="J299" s="1">
        <v>48730</v>
      </c>
      <c r="K299" s="1">
        <v>389840</v>
      </c>
    </row>
    <row r="300" spans="1:11" x14ac:dyDescent="0.3">
      <c r="A300" s="1">
        <v>299</v>
      </c>
      <c r="B300" s="1" t="s">
        <v>11</v>
      </c>
      <c r="C300" s="1" t="s">
        <v>17</v>
      </c>
      <c r="D300" s="1" t="s">
        <v>19</v>
      </c>
      <c r="E300" s="1" t="s">
        <v>39</v>
      </c>
      <c r="F300" s="1" t="s">
        <v>54</v>
      </c>
      <c r="G300" s="2">
        <v>44993</v>
      </c>
      <c r="H300" s="1" t="s">
        <v>65</v>
      </c>
      <c r="I300" s="1">
        <v>30</v>
      </c>
      <c r="J300" s="1">
        <v>16085</v>
      </c>
      <c r="K300" s="1">
        <v>482550</v>
      </c>
    </row>
    <row r="301" spans="1:11" x14ac:dyDescent="0.3">
      <c r="A301" s="1">
        <v>300</v>
      </c>
      <c r="B301" s="1" t="s">
        <v>14</v>
      </c>
      <c r="C301" s="1" t="s">
        <v>17</v>
      </c>
      <c r="D301" s="1" t="s">
        <v>21</v>
      </c>
      <c r="E301" s="1" t="s">
        <v>37</v>
      </c>
      <c r="F301" s="1" t="s">
        <v>47</v>
      </c>
      <c r="G301" s="2">
        <v>45202</v>
      </c>
      <c r="H301" s="1" t="s">
        <v>63</v>
      </c>
      <c r="I301" s="1">
        <v>18</v>
      </c>
      <c r="J301" s="1">
        <v>47736</v>
      </c>
      <c r="K301" s="1">
        <v>859248</v>
      </c>
    </row>
    <row r="302" spans="1:11" x14ac:dyDescent="0.3">
      <c r="A302" s="1">
        <v>301</v>
      </c>
      <c r="B302" s="1" t="s">
        <v>12</v>
      </c>
      <c r="C302" s="1" t="s">
        <v>16</v>
      </c>
      <c r="D302" s="1" t="s">
        <v>23</v>
      </c>
      <c r="E302" s="1" t="s">
        <v>35</v>
      </c>
      <c r="F302" s="1" t="s">
        <v>52</v>
      </c>
      <c r="G302" s="2">
        <v>45064</v>
      </c>
      <c r="H302" s="1" t="s">
        <v>61</v>
      </c>
      <c r="I302" s="1">
        <v>35</v>
      </c>
      <c r="J302" s="1">
        <v>29561</v>
      </c>
      <c r="K302" s="1">
        <v>1034635</v>
      </c>
    </row>
    <row r="303" spans="1:11" x14ac:dyDescent="0.3">
      <c r="A303" s="1">
        <v>302</v>
      </c>
      <c r="B303" s="1" t="s">
        <v>14</v>
      </c>
      <c r="C303" s="1" t="s">
        <v>16</v>
      </c>
      <c r="D303" s="1" t="s">
        <v>21</v>
      </c>
      <c r="E303" s="1" t="s">
        <v>36</v>
      </c>
      <c r="F303" s="1" t="s">
        <v>43</v>
      </c>
      <c r="G303" s="2">
        <v>45028</v>
      </c>
      <c r="H303" s="1" t="s">
        <v>67</v>
      </c>
      <c r="I303" s="1">
        <v>29</v>
      </c>
      <c r="J303" s="1">
        <v>31709</v>
      </c>
      <c r="K303" s="1">
        <v>919561</v>
      </c>
    </row>
    <row r="304" spans="1:11" x14ac:dyDescent="0.3">
      <c r="A304" s="1">
        <v>303</v>
      </c>
      <c r="B304" s="1" t="s">
        <v>12</v>
      </c>
      <c r="C304" s="1" t="s">
        <v>17</v>
      </c>
      <c r="D304" s="1" t="s">
        <v>34</v>
      </c>
      <c r="E304" s="1" t="s">
        <v>35</v>
      </c>
      <c r="F304" s="1" t="s">
        <v>42</v>
      </c>
      <c r="G304" s="2">
        <v>45005</v>
      </c>
      <c r="H304" s="1" t="s">
        <v>65</v>
      </c>
      <c r="I304" s="1">
        <v>35</v>
      </c>
      <c r="J304" s="1">
        <v>45445</v>
      </c>
      <c r="K304" s="1">
        <v>1590575</v>
      </c>
    </row>
    <row r="305" spans="1:11" x14ac:dyDescent="0.3">
      <c r="A305" s="1">
        <v>304</v>
      </c>
      <c r="B305" s="1" t="s">
        <v>14</v>
      </c>
      <c r="C305" s="1" t="s">
        <v>18</v>
      </c>
      <c r="D305" s="1" t="s">
        <v>21</v>
      </c>
      <c r="E305" s="1" t="s">
        <v>39</v>
      </c>
      <c r="F305" s="1" t="s">
        <v>56</v>
      </c>
      <c r="G305" s="2">
        <v>45184</v>
      </c>
      <c r="H305" s="1" t="s">
        <v>66</v>
      </c>
      <c r="I305" s="1">
        <v>14</v>
      </c>
      <c r="J305" s="1">
        <v>11031</v>
      </c>
      <c r="K305" s="1">
        <v>154434</v>
      </c>
    </row>
    <row r="306" spans="1:11" x14ac:dyDescent="0.3">
      <c r="A306" s="1">
        <v>305</v>
      </c>
      <c r="B306" s="1" t="s">
        <v>15</v>
      </c>
      <c r="C306" s="1" t="s">
        <v>17</v>
      </c>
      <c r="D306" s="1" t="s">
        <v>22</v>
      </c>
      <c r="E306" s="1" t="s">
        <v>35</v>
      </c>
      <c r="F306" s="1" t="s">
        <v>49</v>
      </c>
      <c r="G306" s="2">
        <v>45183</v>
      </c>
      <c r="H306" s="1" t="s">
        <v>66</v>
      </c>
      <c r="I306" s="1">
        <v>33</v>
      </c>
      <c r="J306" s="1">
        <v>5852</v>
      </c>
      <c r="K306" s="1">
        <v>193116</v>
      </c>
    </row>
    <row r="307" spans="1:11" x14ac:dyDescent="0.3">
      <c r="A307" s="1">
        <v>306</v>
      </c>
      <c r="B307" s="1" t="s">
        <v>12</v>
      </c>
      <c r="C307" s="1" t="s">
        <v>17</v>
      </c>
      <c r="D307" s="1" t="s">
        <v>32</v>
      </c>
      <c r="E307" s="1" t="s">
        <v>38</v>
      </c>
      <c r="F307" s="1" t="s">
        <v>43</v>
      </c>
      <c r="G307" s="2">
        <v>45092</v>
      </c>
      <c r="H307" s="1" t="s">
        <v>71</v>
      </c>
      <c r="I307" s="1">
        <v>6</v>
      </c>
      <c r="J307" s="1">
        <v>2151</v>
      </c>
      <c r="K307" s="1">
        <v>12906</v>
      </c>
    </row>
    <row r="308" spans="1:11" x14ac:dyDescent="0.3">
      <c r="A308" s="1">
        <v>307</v>
      </c>
      <c r="B308" s="1" t="s">
        <v>12</v>
      </c>
      <c r="C308" s="1" t="s">
        <v>16</v>
      </c>
      <c r="D308" s="1" t="s">
        <v>24</v>
      </c>
      <c r="E308" s="1" t="s">
        <v>40</v>
      </c>
      <c r="F308" s="1" t="s">
        <v>42</v>
      </c>
      <c r="G308" s="2">
        <v>45026</v>
      </c>
      <c r="H308" s="1" t="s">
        <v>67</v>
      </c>
      <c r="I308" s="1">
        <v>13</v>
      </c>
      <c r="J308" s="1">
        <v>35844</v>
      </c>
      <c r="K308" s="1">
        <v>465972</v>
      </c>
    </row>
    <row r="309" spans="1:11" x14ac:dyDescent="0.3">
      <c r="A309" s="1">
        <v>308</v>
      </c>
      <c r="B309" s="1" t="s">
        <v>14</v>
      </c>
      <c r="C309" s="1" t="s">
        <v>18</v>
      </c>
      <c r="D309" s="1" t="s">
        <v>24</v>
      </c>
      <c r="E309" s="1" t="s">
        <v>37</v>
      </c>
      <c r="F309" s="1" t="s">
        <v>51</v>
      </c>
      <c r="G309" s="2">
        <v>45258</v>
      </c>
      <c r="H309" s="1" t="s">
        <v>62</v>
      </c>
      <c r="I309" s="1">
        <v>3</v>
      </c>
      <c r="J309" s="1">
        <v>9390</v>
      </c>
      <c r="K309" s="1">
        <v>28170</v>
      </c>
    </row>
    <row r="310" spans="1:11" x14ac:dyDescent="0.3">
      <c r="A310" s="1">
        <v>309</v>
      </c>
      <c r="B310" s="1" t="s">
        <v>11</v>
      </c>
      <c r="C310" s="1" t="s">
        <v>18</v>
      </c>
      <c r="D310" s="1" t="s">
        <v>26</v>
      </c>
      <c r="E310" s="1" t="s">
        <v>35</v>
      </c>
      <c r="F310" s="1" t="s">
        <v>57</v>
      </c>
      <c r="G310" s="2">
        <v>45180</v>
      </c>
      <c r="H310" s="1" t="s">
        <v>66</v>
      </c>
      <c r="I310" s="1">
        <v>7</v>
      </c>
      <c r="J310" s="1">
        <v>40531</v>
      </c>
      <c r="K310" s="1">
        <v>283717</v>
      </c>
    </row>
    <row r="311" spans="1:11" x14ac:dyDescent="0.3">
      <c r="A311" s="1">
        <v>310</v>
      </c>
      <c r="B311" s="1" t="s">
        <v>15</v>
      </c>
      <c r="C311" s="1" t="s">
        <v>16</v>
      </c>
      <c r="D311" s="1" t="s">
        <v>22</v>
      </c>
      <c r="E311" s="1" t="s">
        <v>38</v>
      </c>
      <c r="F311" s="1" t="s">
        <v>59</v>
      </c>
      <c r="G311" s="2">
        <v>45268</v>
      </c>
      <c r="H311" s="1" t="s">
        <v>69</v>
      </c>
      <c r="I311" s="1">
        <v>41</v>
      </c>
      <c r="J311" s="1">
        <v>21343</v>
      </c>
      <c r="K311" s="1">
        <v>875063</v>
      </c>
    </row>
    <row r="312" spans="1:11" x14ac:dyDescent="0.3">
      <c r="A312" s="1">
        <v>311</v>
      </c>
      <c r="B312" s="1" t="s">
        <v>15</v>
      </c>
      <c r="C312" s="1" t="s">
        <v>18</v>
      </c>
      <c r="D312" s="1" t="s">
        <v>21</v>
      </c>
      <c r="E312" s="1" t="s">
        <v>40</v>
      </c>
      <c r="F312" s="1" t="s">
        <v>53</v>
      </c>
      <c r="G312" s="2">
        <v>45153</v>
      </c>
      <c r="H312" s="1" t="s">
        <v>72</v>
      </c>
      <c r="I312" s="1">
        <v>7</v>
      </c>
      <c r="J312" s="1">
        <v>9011</v>
      </c>
      <c r="K312" s="1">
        <v>63077</v>
      </c>
    </row>
    <row r="313" spans="1:11" x14ac:dyDescent="0.3">
      <c r="A313" s="1">
        <v>312</v>
      </c>
      <c r="B313" s="1" t="s">
        <v>12</v>
      </c>
      <c r="C313" s="1" t="s">
        <v>17</v>
      </c>
      <c r="D313" s="1" t="s">
        <v>27</v>
      </c>
      <c r="E313" s="1" t="s">
        <v>40</v>
      </c>
      <c r="F313" s="1" t="s">
        <v>46</v>
      </c>
      <c r="G313" s="2">
        <v>45246</v>
      </c>
      <c r="H313" s="1" t="s">
        <v>62</v>
      </c>
      <c r="I313" s="1">
        <v>25</v>
      </c>
      <c r="J313" s="1">
        <v>8101</v>
      </c>
      <c r="K313" s="1">
        <v>202525</v>
      </c>
    </row>
    <row r="314" spans="1:11" x14ac:dyDescent="0.3">
      <c r="A314" s="1">
        <v>313</v>
      </c>
      <c r="B314" s="1" t="s">
        <v>14</v>
      </c>
      <c r="C314" s="1" t="s">
        <v>18</v>
      </c>
      <c r="D314" s="1" t="s">
        <v>20</v>
      </c>
      <c r="E314" s="1" t="s">
        <v>35</v>
      </c>
      <c r="F314" s="1" t="s">
        <v>51</v>
      </c>
      <c r="G314" s="2">
        <v>45174</v>
      </c>
      <c r="H314" s="1" t="s">
        <v>66</v>
      </c>
      <c r="I314" s="1">
        <v>25</v>
      </c>
      <c r="J314" s="1">
        <v>21161</v>
      </c>
      <c r="K314" s="1">
        <v>529025</v>
      </c>
    </row>
    <row r="315" spans="1:11" x14ac:dyDescent="0.3">
      <c r="A315" s="1">
        <v>314</v>
      </c>
      <c r="B315" s="1" t="s">
        <v>13</v>
      </c>
      <c r="C315" s="1" t="s">
        <v>16</v>
      </c>
      <c r="D315" s="1" t="s">
        <v>20</v>
      </c>
      <c r="E315" s="1" t="s">
        <v>36</v>
      </c>
      <c r="F315" s="1" t="s">
        <v>47</v>
      </c>
      <c r="G315" s="2">
        <v>45180</v>
      </c>
      <c r="H315" s="1" t="s">
        <v>66</v>
      </c>
      <c r="I315" s="1">
        <v>10</v>
      </c>
      <c r="J315" s="1">
        <v>11571</v>
      </c>
      <c r="K315" s="1">
        <v>115710</v>
      </c>
    </row>
    <row r="316" spans="1:11" x14ac:dyDescent="0.3">
      <c r="A316" s="1">
        <v>315</v>
      </c>
      <c r="B316" s="1" t="s">
        <v>15</v>
      </c>
      <c r="C316" s="1" t="s">
        <v>18</v>
      </c>
      <c r="D316" s="1" t="s">
        <v>31</v>
      </c>
      <c r="E316" s="1" t="s">
        <v>35</v>
      </c>
      <c r="F316" s="1" t="s">
        <v>60</v>
      </c>
      <c r="G316" s="2">
        <v>45109</v>
      </c>
      <c r="H316" s="1" t="s">
        <v>64</v>
      </c>
      <c r="I316" s="1">
        <v>34</v>
      </c>
      <c r="J316" s="1">
        <v>27922</v>
      </c>
      <c r="K316" s="1">
        <v>949348</v>
      </c>
    </row>
    <row r="317" spans="1:11" x14ac:dyDescent="0.3">
      <c r="A317" s="1">
        <v>316</v>
      </c>
      <c r="B317" s="1" t="s">
        <v>14</v>
      </c>
      <c r="C317" s="1" t="s">
        <v>17</v>
      </c>
      <c r="D317" s="1" t="s">
        <v>29</v>
      </c>
      <c r="E317" s="1" t="s">
        <v>36</v>
      </c>
      <c r="F317" s="1" t="s">
        <v>60</v>
      </c>
      <c r="G317" s="2">
        <v>45232</v>
      </c>
      <c r="H317" s="1" t="s">
        <v>62</v>
      </c>
      <c r="I317" s="1">
        <v>16</v>
      </c>
      <c r="J317" s="1">
        <v>47305</v>
      </c>
      <c r="K317" s="1">
        <v>756880</v>
      </c>
    </row>
    <row r="318" spans="1:11" x14ac:dyDescent="0.3">
      <c r="A318" s="1">
        <v>317</v>
      </c>
      <c r="B318" s="1" t="s">
        <v>12</v>
      </c>
      <c r="C318" s="1" t="s">
        <v>18</v>
      </c>
      <c r="D318" s="1" t="s">
        <v>31</v>
      </c>
      <c r="E318" s="1" t="s">
        <v>40</v>
      </c>
      <c r="F318" s="1" t="s">
        <v>46</v>
      </c>
      <c r="G318" s="2">
        <v>45050</v>
      </c>
      <c r="H318" s="1" t="s">
        <v>61</v>
      </c>
      <c r="I318" s="1">
        <v>10</v>
      </c>
      <c r="J318" s="1">
        <v>36137</v>
      </c>
      <c r="K318" s="1">
        <v>361370</v>
      </c>
    </row>
    <row r="319" spans="1:11" x14ac:dyDescent="0.3">
      <c r="A319" s="1">
        <v>318</v>
      </c>
      <c r="B319" s="1" t="s">
        <v>11</v>
      </c>
      <c r="C319" s="1" t="s">
        <v>17</v>
      </c>
      <c r="D319" s="1" t="s">
        <v>22</v>
      </c>
      <c r="E319" s="1" t="s">
        <v>38</v>
      </c>
      <c r="F319" s="1" t="s">
        <v>46</v>
      </c>
      <c r="G319" s="2">
        <v>45233</v>
      </c>
      <c r="H319" s="1" t="s">
        <v>62</v>
      </c>
      <c r="I319" s="1">
        <v>22</v>
      </c>
      <c r="J319" s="1">
        <v>2177</v>
      </c>
      <c r="K319" s="1">
        <v>47894</v>
      </c>
    </row>
    <row r="320" spans="1:11" x14ac:dyDescent="0.3">
      <c r="A320" s="1">
        <v>319</v>
      </c>
      <c r="B320" s="1" t="s">
        <v>11</v>
      </c>
      <c r="C320" s="1" t="s">
        <v>18</v>
      </c>
      <c r="D320" s="1" t="s">
        <v>20</v>
      </c>
      <c r="E320" s="1" t="s">
        <v>35</v>
      </c>
      <c r="F320" s="1" t="s">
        <v>60</v>
      </c>
      <c r="G320" s="2">
        <v>45128</v>
      </c>
      <c r="H320" s="1" t="s">
        <v>64</v>
      </c>
      <c r="I320" s="1">
        <v>38</v>
      </c>
      <c r="J320" s="1">
        <v>15702</v>
      </c>
      <c r="K320" s="1">
        <v>596676</v>
      </c>
    </row>
    <row r="321" spans="1:11" x14ac:dyDescent="0.3">
      <c r="A321" s="1">
        <v>320</v>
      </c>
      <c r="B321" s="1" t="s">
        <v>14</v>
      </c>
      <c r="C321" s="1" t="s">
        <v>16</v>
      </c>
      <c r="D321" s="1" t="s">
        <v>27</v>
      </c>
      <c r="E321" s="1" t="s">
        <v>39</v>
      </c>
      <c r="F321" s="1" t="s">
        <v>52</v>
      </c>
      <c r="G321" s="2">
        <v>45224</v>
      </c>
      <c r="H321" s="1" t="s">
        <v>63</v>
      </c>
      <c r="I321" s="1">
        <v>35</v>
      </c>
      <c r="J321" s="1">
        <v>33185</v>
      </c>
      <c r="K321" s="1">
        <v>1161475</v>
      </c>
    </row>
    <row r="322" spans="1:11" x14ac:dyDescent="0.3">
      <c r="A322" s="1">
        <v>321</v>
      </c>
      <c r="B322" s="1" t="s">
        <v>13</v>
      </c>
      <c r="C322" s="1" t="s">
        <v>17</v>
      </c>
      <c r="D322" s="1" t="s">
        <v>34</v>
      </c>
      <c r="E322" s="1" t="s">
        <v>39</v>
      </c>
      <c r="F322" s="1" t="s">
        <v>52</v>
      </c>
      <c r="G322" s="2">
        <v>45113</v>
      </c>
      <c r="H322" s="1" t="s">
        <v>64</v>
      </c>
      <c r="I322" s="1">
        <v>33</v>
      </c>
      <c r="J322" s="1">
        <v>2340</v>
      </c>
      <c r="K322" s="1">
        <v>77220</v>
      </c>
    </row>
    <row r="323" spans="1:11" x14ac:dyDescent="0.3">
      <c r="A323" s="1">
        <v>322</v>
      </c>
      <c r="B323" s="1" t="s">
        <v>11</v>
      </c>
      <c r="C323" s="1" t="s">
        <v>18</v>
      </c>
      <c r="D323" s="1" t="s">
        <v>27</v>
      </c>
      <c r="E323" s="1" t="s">
        <v>38</v>
      </c>
      <c r="F323" s="1" t="s">
        <v>51</v>
      </c>
      <c r="G323" s="2">
        <v>45252</v>
      </c>
      <c r="H323" s="1" t="s">
        <v>62</v>
      </c>
      <c r="I323" s="1">
        <v>31</v>
      </c>
      <c r="J323" s="1">
        <v>21239</v>
      </c>
      <c r="K323" s="1">
        <v>658409</v>
      </c>
    </row>
    <row r="324" spans="1:11" x14ac:dyDescent="0.3">
      <c r="A324" s="1">
        <v>323</v>
      </c>
      <c r="B324" s="1" t="s">
        <v>14</v>
      </c>
      <c r="C324" s="1" t="s">
        <v>18</v>
      </c>
      <c r="D324" s="1" t="s">
        <v>29</v>
      </c>
      <c r="E324" s="1" t="s">
        <v>36</v>
      </c>
      <c r="F324" s="1" t="s">
        <v>47</v>
      </c>
      <c r="G324" s="2">
        <v>45203</v>
      </c>
      <c r="H324" s="1" t="s">
        <v>63</v>
      </c>
      <c r="I324" s="1">
        <v>44</v>
      </c>
      <c r="J324" s="1">
        <v>20298</v>
      </c>
      <c r="K324" s="1">
        <v>893112</v>
      </c>
    </row>
    <row r="325" spans="1:11" x14ac:dyDescent="0.3">
      <c r="A325" s="1">
        <v>324</v>
      </c>
      <c r="B325" s="1" t="s">
        <v>15</v>
      </c>
      <c r="C325" s="1" t="s">
        <v>17</v>
      </c>
      <c r="D325" s="1" t="s">
        <v>33</v>
      </c>
      <c r="E325" s="1" t="s">
        <v>38</v>
      </c>
      <c r="F325" s="1" t="s">
        <v>56</v>
      </c>
      <c r="G325" s="2">
        <v>45095</v>
      </c>
      <c r="H325" s="1" t="s">
        <v>71</v>
      </c>
      <c r="I325" s="1">
        <v>46</v>
      </c>
      <c r="J325" s="1">
        <v>45972</v>
      </c>
      <c r="K325" s="1">
        <v>2114712</v>
      </c>
    </row>
    <row r="326" spans="1:11" x14ac:dyDescent="0.3">
      <c r="A326" s="1">
        <v>325</v>
      </c>
      <c r="B326" s="1" t="s">
        <v>12</v>
      </c>
      <c r="C326" s="1" t="s">
        <v>16</v>
      </c>
      <c r="D326" s="1" t="s">
        <v>20</v>
      </c>
      <c r="E326" s="1" t="s">
        <v>36</v>
      </c>
      <c r="F326" s="1" t="s">
        <v>59</v>
      </c>
      <c r="G326" s="2">
        <v>44972</v>
      </c>
      <c r="H326" s="1" t="s">
        <v>70</v>
      </c>
      <c r="I326" s="1">
        <v>15</v>
      </c>
      <c r="J326" s="1">
        <v>49703</v>
      </c>
      <c r="K326" s="1">
        <v>745545</v>
      </c>
    </row>
    <row r="327" spans="1:11" x14ac:dyDescent="0.3">
      <c r="A327" s="1">
        <v>326</v>
      </c>
      <c r="B327" s="1" t="s">
        <v>12</v>
      </c>
      <c r="C327" s="1" t="s">
        <v>17</v>
      </c>
      <c r="D327" s="1" t="s">
        <v>26</v>
      </c>
      <c r="E327" s="1" t="s">
        <v>38</v>
      </c>
      <c r="F327" s="1" t="s">
        <v>43</v>
      </c>
      <c r="G327" s="2">
        <v>45189</v>
      </c>
      <c r="H327" s="1" t="s">
        <v>66</v>
      </c>
      <c r="I327" s="1">
        <v>33</v>
      </c>
      <c r="J327" s="1">
        <v>18473</v>
      </c>
      <c r="K327" s="1">
        <v>609609</v>
      </c>
    </row>
    <row r="328" spans="1:11" x14ac:dyDescent="0.3">
      <c r="A328" s="1">
        <v>327</v>
      </c>
      <c r="B328" s="1" t="s">
        <v>11</v>
      </c>
      <c r="C328" s="1" t="s">
        <v>17</v>
      </c>
      <c r="D328" s="1" t="s">
        <v>29</v>
      </c>
      <c r="E328" s="1" t="s">
        <v>39</v>
      </c>
      <c r="F328" s="1" t="s">
        <v>58</v>
      </c>
      <c r="G328" s="2">
        <v>44952</v>
      </c>
      <c r="H328" s="1" t="s">
        <v>68</v>
      </c>
      <c r="I328" s="1">
        <v>36</v>
      </c>
      <c r="J328" s="1">
        <v>6342</v>
      </c>
      <c r="K328" s="1">
        <v>228312</v>
      </c>
    </row>
    <row r="329" spans="1:11" x14ac:dyDescent="0.3">
      <c r="A329" s="1">
        <v>328</v>
      </c>
      <c r="B329" s="1" t="s">
        <v>14</v>
      </c>
      <c r="C329" s="1" t="s">
        <v>16</v>
      </c>
      <c r="D329" s="1" t="s">
        <v>26</v>
      </c>
      <c r="E329" s="1" t="s">
        <v>35</v>
      </c>
      <c r="F329" s="1" t="s">
        <v>41</v>
      </c>
      <c r="G329" s="2">
        <v>44982</v>
      </c>
      <c r="H329" s="1" t="s">
        <v>70</v>
      </c>
      <c r="I329" s="1">
        <v>47</v>
      </c>
      <c r="J329" s="1">
        <v>17373</v>
      </c>
      <c r="K329" s="1">
        <v>816531</v>
      </c>
    </row>
    <row r="330" spans="1:11" x14ac:dyDescent="0.3">
      <c r="A330" s="1">
        <v>329</v>
      </c>
      <c r="B330" s="1" t="s">
        <v>11</v>
      </c>
      <c r="C330" s="1" t="s">
        <v>16</v>
      </c>
      <c r="D330" s="1" t="s">
        <v>33</v>
      </c>
      <c r="E330" s="1" t="s">
        <v>35</v>
      </c>
      <c r="F330" s="1" t="s">
        <v>49</v>
      </c>
      <c r="G330" s="2">
        <v>45218</v>
      </c>
      <c r="H330" s="1" t="s">
        <v>63</v>
      </c>
      <c r="I330" s="1">
        <v>3</v>
      </c>
      <c r="J330" s="1">
        <v>34301</v>
      </c>
      <c r="K330" s="1">
        <v>102903</v>
      </c>
    </row>
    <row r="331" spans="1:11" x14ac:dyDescent="0.3">
      <c r="A331" s="1">
        <v>330</v>
      </c>
      <c r="B331" s="1" t="s">
        <v>15</v>
      </c>
      <c r="C331" s="1" t="s">
        <v>18</v>
      </c>
      <c r="D331" s="1" t="s">
        <v>22</v>
      </c>
      <c r="E331" s="1" t="s">
        <v>40</v>
      </c>
      <c r="F331" s="1" t="s">
        <v>43</v>
      </c>
      <c r="G331" s="2">
        <v>45221</v>
      </c>
      <c r="H331" s="1" t="s">
        <v>63</v>
      </c>
      <c r="I331" s="1">
        <v>29</v>
      </c>
      <c r="J331" s="1">
        <v>24668</v>
      </c>
      <c r="K331" s="1">
        <v>715372</v>
      </c>
    </row>
    <row r="332" spans="1:11" x14ac:dyDescent="0.3">
      <c r="A332" s="1">
        <v>331</v>
      </c>
      <c r="B332" s="1" t="s">
        <v>12</v>
      </c>
      <c r="C332" s="1" t="s">
        <v>18</v>
      </c>
      <c r="D332" s="1" t="s">
        <v>32</v>
      </c>
      <c r="E332" s="1" t="s">
        <v>37</v>
      </c>
      <c r="F332" s="1" t="s">
        <v>59</v>
      </c>
      <c r="G332" s="2">
        <v>45129</v>
      </c>
      <c r="H332" s="1" t="s">
        <v>64</v>
      </c>
      <c r="I332" s="1">
        <v>40</v>
      </c>
      <c r="J332" s="1">
        <v>48259</v>
      </c>
      <c r="K332" s="1">
        <v>1930360</v>
      </c>
    </row>
    <row r="333" spans="1:11" x14ac:dyDescent="0.3">
      <c r="A333" s="1">
        <v>332</v>
      </c>
      <c r="B333" s="1" t="s">
        <v>12</v>
      </c>
      <c r="C333" s="1" t="s">
        <v>18</v>
      </c>
      <c r="D333" s="1" t="s">
        <v>26</v>
      </c>
      <c r="E333" s="1" t="s">
        <v>40</v>
      </c>
      <c r="F333" s="1" t="s">
        <v>46</v>
      </c>
      <c r="G333" s="2">
        <v>45166</v>
      </c>
      <c r="H333" s="1" t="s">
        <v>72</v>
      </c>
      <c r="I333" s="1">
        <v>47</v>
      </c>
      <c r="J333" s="1">
        <v>29749</v>
      </c>
      <c r="K333" s="1">
        <v>1398203</v>
      </c>
    </row>
    <row r="334" spans="1:11" x14ac:dyDescent="0.3">
      <c r="A334" s="1">
        <v>333</v>
      </c>
      <c r="B334" s="1" t="s">
        <v>13</v>
      </c>
      <c r="C334" s="1" t="s">
        <v>18</v>
      </c>
      <c r="D334" s="1" t="s">
        <v>33</v>
      </c>
      <c r="E334" s="1" t="s">
        <v>36</v>
      </c>
      <c r="F334" s="1" t="s">
        <v>52</v>
      </c>
      <c r="G334" s="2">
        <v>44964</v>
      </c>
      <c r="H334" s="1" t="s">
        <v>70</v>
      </c>
      <c r="I334" s="1">
        <v>29</v>
      </c>
      <c r="J334" s="1">
        <v>24579</v>
      </c>
      <c r="K334" s="1">
        <v>712791</v>
      </c>
    </row>
    <row r="335" spans="1:11" x14ac:dyDescent="0.3">
      <c r="A335" s="1">
        <v>334</v>
      </c>
      <c r="B335" s="1" t="s">
        <v>13</v>
      </c>
      <c r="C335" s="1" t="s">
        <v>18</v>
      </c>
      <c r="D335" s="1" t="s">
        <v>20</v>
      </c>
      <c r="E335" s="1" t="s">
        <v>38</v>
      </c>
      <c r="F335" s="1" t="s">
        <v>46</v>
      </c>
      <c r="G335" s="2">
        <v>45243</v>
      </c>
      <c r="H335" s="1" t="s">
        <v>62</v>
      </c>
      <c r="I335" s="1">
        <v>30</v>
      </c>
      <c r="J335" s="1">
        <v>24263</v>
      </c>
      <c r="K335" s="1">
        <v>727890</v>
      </c>
    </row>
    <row r="336" spans="1:11" x14ac:dyDescent="0.3">
      <c r="A336" s="1">
        <v>335</v>
      </c>
      <c r="B336" s="1" t="s">
        <v>14</v>
      </c>
      <c r="C336" s="1" t="s">
        <v>16</v>
      </c>
      <c r="D336" s="1" t="s">
        <v>24</v>
      </c>
      <c r="E336" s="1" t="s">
        <v>38</v>
      </c>
      <c r="F336" s="1" t="s">
        <v>57</v>
      </c>
      <c r="G336" s="2">
        <v>45261</v>
      </c>
      <c r="H336" s="1" t="s">
        <v>69</v>
      </c>
      <c r="I336" s="1">
        <v>36</v>
      </c>
      <c r="J336" s="1">
        <v>46036</v>
      </c>
      <c r="K336" s="1">
        <v>1657296</v>
      </c>
    </row>
    <row r="337" spans="1:11" x14ac:dyDescent="0.3">
      <c r="A337" s="1">
        <v>336</v>
      </c>
      <c r="B337" s="1" t="s">
        <v>14</v>
      </c>
      <c r="C337" s="1" t="s">
        <v>18</v>
      </c>
      <c r="D337" s="1" t="s">
        <v>31</v>
      </c>
      <c r="E337" s="1" t="s">
        <v>37</v>
      </c>
      <c r="F337" s="1" t="s">
        <v>50</v>
      </c>
      <c r="G337" s="2">
        <v>45008</v>
      </c>
      <c r="H337" s="1" t="s">
        <v>65</v>
      </c>
      <c r="I337" s="1">
        <v>45</v>
      </c>
      <c r="J337" s="1">
        <v>45600</v>
      </c>
      <c r="K337" s="1">
        <v>2052000</v>
      </c>
    </row>
    <row r="338" spans="1:11" x14ac:dyDescent="0.3">
      <c r="A338" s="1">
        <v>337</v>
      </c>
      <c r="B338" s="1" t="s">
        <v>15</v>
      </c>
      <c r="C338" s="1" t="s">
        <v>17</v>
      </c>
      <c r="D338" s="1" t="s">
        <v>21</v>
      </c>
      <c r="E338" s="1" t="s">
        <v>35</v>
      </c>
      <c r="F338" s="1" t="s">
        <v>55</v>
      </c>
      <c r="G338" s="2">
        <v>45213</v>
      </c>
      <c r="H338" s="1" t="s">
        <v>63</v>
      </c>
      <c r="I338" s="1">
        <v>9</v>
      </c>
      <c r="J338" s="1">
        <v>16262</v>
      </c>
      <c r="K338" s="1">
        <v>146358</v>
      </c>
    </row>
    <row r="339" spans="1:11" x14ac:dyDescent="0.3">
      <c r="A339" s="1">
        <v>338</v>
      </c>
      <c r="B339" s="1" t="s">
        <v>13</v>
      </c>
      <c r="C339" s="1" t="s">
        <v>17</v>
      </c>
      <c r="D339" s="1" t="s">
        <v>19</v>
      </c>
      <c r="E339" s="1" t="s">
        <v>36</v>
      </c>
      <c r="F339" s="1" t="s">
        <v>48</v>
      </c>
      <c r="G339" s="2">
        <v>44981</v>
      </c>
      <c r="H339" s="1" t="s">
        <v>70</v>
      </c>
      <c r="I339" s="1">
        <v>50</v>
      </c>
      <c r="J339" s="1">
        <v>41088</v>
      </c>
      <c r="K339" s="1">
        <v>2054400</v>
      </c>
    </row>
    <row r="340" spans="1:11" x14ac:dyDescent="0.3">
      <c r="A340" s="1">
        <v>339</v>
      </c>
      <c r="B340" s="1" t="s">
        <v>12</v>
      </c>
      <c r="C340" s="1" t="s">
        <v>17</v>
      </c>
      <c r="D340" s="1" t="s">
        <v>32</v>
      </c>
      <c r="E340" s="1" t="s">
        <v>36</v>
      </c>
      <c r="F340" s="1" t="s">
        <v>56</v>
      </c>
      <c r="G340" s="2">
        <v>45177</v>
      </c>
      <c r="H340" s="1" t="s">
        <v>66</v>
      </c>
      <c r="I340" s="1">
        <v>38</v>
      </c>
      <c r="J340" s="1">
        <v>22109</v>
      </c>
      <c r="K340" s="1">
        <v>840142</v>
      </c>
    </row>
    <row r="341" spans="1:11" x14ac:dyDescent="0.3">
      <c r="A341" s="1">
        <v>340</v>
      </c>
      <c r="B341" s="1" t="s">
        <v>11</v>
      </c>
      <c r="C341" s="1" t="s">
        <v>18</v>
      </c>
      <c r="D341" s="1" t="s">
        <v>25</v>
      </c>
      <c r="E341" s="1" t="s">
        <v>40</v>
      </c>
      <c r="F341" s="1" t="s">
        <v>42</v>
      </c>
      <c r="G341" s="2">
        <v>45288</v>
      </c>
      <c r="H341" s="1" t="s">
        <v>69</v>
      </c>
      <c r="I341" s="1">
        <v>26</v>
      </c>
      <c r="J341" s="1">
        <v>44128</v>
      </c>
      <c r="K341" s="1">
        <v>1147328</v>
      </c>
    </row>
    <row r="342" spans="1:11" x14ac:dyDescent="0.3">
      <c r="A342" s="1">
        <v>341</v>
      </c>
      <c r="B342" s="1" t="s">
        <v>15</v>
      </c>
      <c r="C342" s="1" t="s">
        <v>17</v>
      </c>
      <c r="D342" s="1" t="s">
        <v>33</v>
      </c>
      <c r="E342" s="1" t="s">
        <v>38</v>
      </c>
      <c r="F342" s="1" t="s">
        <v>55</v>
      </c>
      <c r="G342" s="2">
        <v>45039</v>
      </c>
      <c r="H342" s="1" t="s">
        <v>67</v>
      </c>
      <c r="I342" s="1">
        <v>39</v>
      </c>
      <c r="J342" s="1">
        <v>36669</v>
      </c>
      <c r="K342" s="1">
        <v>1430091</v>
      </c>
    </row>
    <row r="343" spans="1:11" x14ac:dyDescent="0.3">
      <c r="A343" s="1">
        <v>342</v>
      </c>
      <c r="B343" s="1" t="s">
        <v>12</v>
      </c>
      <c r="C343" s="1" t="s">
        <v>17</v>
      </c>
      <c r="D343" s="1" t="s">
        <v>33</v>
      </c>
      <c r="E343" s="1" t="s">
        <v>38</v>
      </c>
      <c r="F343" s="1" t="s">
        <v>58</v>
      </c>
      <c r="G343" s="2">
        <v>45025</v>
      </c>
      <c r="H343" s="1" t="s">
        <v>67</v>
      </c>
      <c r="I343" s="1">
        <v>48</v>
      </c>
      <c r="J343" s="1">
        <v>17256</v>
      </c>
      <c r="K343" s="1">
        <v>828288</v>
      </c>
    </row>
    <row r="344" spans="1:11" x14ac:dyDescent="0.3">
      <c r="A344" s="1">
        <v>343</v>
      </c>
      <c r="B344" s="1" t="s">
        <v>14</v>
      </c>
      <c r="C344" s="1" t="s">
        <v>17</v>
      </c>
      <c r="D344" s="1" t="s">
        <v>21</v>
      </c>
      <c r="E344" s="1" t="s">
        <v>40</v>
      </c>
      <c r="F344" s="1" t="s">
        <v>49</v>
      </c>
      <c r="G344" s="2">
        <v>45160</v>
      </c>
      <c r="H344" s="1" t="s">
        <v>72</v>
      </c>
      <c r="I344" s="1">
        <v>8</v>
      </c>
      <c r="J344" s="1">
        <v>24556</v>
      </c>
      <c r="K344" s="1">
        <v>196448</v>
      </c>
    </row>
    <row r="345" spans="1:11" x14ac:dyDescent="0.3">
      <c r="A345" s="1">
        <v>344</v>
      </c>
      <c r="B345" s="1" t="s">
        <v>11</v>
      </c>
      <c r="C345" s="1" t="s">
        <v>16</v>
      </c>
      <c r="D345" s="1" t="s">
        <v>29</v>
      </c>
      <c r="E345" s="1" t="s">
        <v>39</v>
      </c>
      <c r="F345" s="1" t="s">
        <v>58</v>
      </c>
      <c r="G345" s="2">
        <v>45251</v>
      </c>
      <c r="H345" s="1" t="s">
        <v>62</v>
      </c>
      <c r="I345" s="1">
        <v>35</v>
      </c>
      <c r="J345" s="1">
        <v>12622</v>
      </c>
      <c r="K345" s="1">
        <v>441770</v>
      </c>
    </row>
    <row r="346" spans="1:11" x14ac:dyDescent="0.3">
      <c r="A346" s="1">
        <v>345</v>
      </c>
      <c r="B346" s="1" t="s">
        <v>12</v>
      </c>
      <c r="C346" s="1" t="s">
        <v>17</v>
      </c>
      <c r="D346" s="1" t="s">
        <v>24</v>
      </c>
      <c r="E346" s="1" t="s">
        <v>35</v>
      </c>
      <c r="F346" s="1" t="s">
        <v>60</v>
      </c>
      <c r="G346" s="2">
        <v>45208</v>
      </c>
      <c r="H346" s="1" t="s">
        <v>63</v>
      </c>
      <c r="I346" s="1">
        <v>3</v>
      </c>
      <c r="J346" s="1">
        <v>11842</v>
      </c>
      <c r="K346" s="1">
        <v>35526</v>
      </c>
    </row>
    <row r="347" spans="1:11" x14ac:dyDescent="0.3">
      <c r="A347" s="1">
        <v>346</v>
      </c>
      <c r="B347" s="1" t="s">
        <v>11</v>
      </c>
      <c r="C347" s="1" t="s">
        <v>16</v>
      </c>
      <c r="D347" s="1" t="s">
        <v>19</v>
      </c>
      <c r="E347" s="1" t="s">
        <v>37</v>
      </c>
      <c r="F347" s="1" t="s">
        <v>44</v>
      </c>
      <c r="G347" s="2">
        <v>45181</v>
      </c>
      <c r="H347" s="1" t="s">
        <v>66</v>
      </c>
      <c r="I347" s="1">
        <v>13</v>
      </c>
      <c r="J347" s="1">
        <v>4077</v>
      </c>
      <c r="K347" s="1">
        <v>53001</v>
      </c>
    </row>
    <row r="348" spans="1:11" x14ac:dyDescent="0.3">
      <c r="A348" s="1">
        <v>347</v>
      </c>
      <c r="B348" s="1" t="s">
        <v>11</v>
      </c>
      <c r="C348" s="1" t="s">
        <v>18</v>
      </c>
      <c r="D348" s="1" t="s">
        <v>34</v>
      </c>
      <c r="E348" s="1" t="s">
        <v>37</v>
      </c>
      <c r="F348" s="1" t="s">
        <v>48</v>
      </c>
      <c r="G348" s="2">
        <v>45223</v>
      </c>
      <c r="H348" s="1" t="s">
        <v>63</v>
      </c>
      <c r="I348" s="1">
        <v>21</v>
      </c>
      <c r="J348" s="1">
        <v>6457</v>
      </c>
      <c r="K348" s="1">
        <v>135597</v>
      </c>
    </row>
    <row r="349" spans="1:11" x14ac:dyDescent="0.3">
      <c r="A349" s="1">
        <v>348</v>
      </c>
      <c r="B349" s="1" t="s">
        <v>15</v>
      </c>
      <c r="C349" s="1" t="s">
        <v>18</v>
      </c>
      <c r="D349" s="1" t="s">
        <v>30</v>
      </c>
      <c r="E349" s="1" t="s">
        <v>36</v>
      </c>
      <c r="F349" s="1" t="s">
        <v>56</v>
      </c>
      <c r="G349" s="2">
        <v>45002</v>
      </c>
      <c r="H349" s="1" t="s">
        <v>65</v>
      </c>
      <c r="I349" s="1">
        <v>3</v>
      </c>
      <c r="J349" s="1">
        <v>16867</v>
      </c>
      <c r="K349" s="1">
        <v>50601</v>
      </c>
    </row>
    <row r="350" spans="1:11" x14ac:dyDescent="0.3">
      <c r="A350" s="1">
        <v>349</v>
      </c>
      <c r="B350" s="1" t="s">
        <v>12</v>
      </c>
      <c r="C350" s="1" t="s">
        <v>18</v>
      </c>
      <c r="D350" s="1" t="s">
        <v>31</v>
      </c>
      <c r="E350" s="1" t="s">
        <v>39</v>
      </c>
      <c r="F350" s="1" t="s">
        <v>44</v>
      </c>
      <c r="G350" s="2">
        <v>45252</v>
      </c>
      <c r="H350" s="1" t="s">
        <v>62</v>
      </c>
      <c r="I350" s="1">
        <v>39</v>
      </c>
      <c r="J350" s="1">
        <v>45374</v>
      </c>
      <c r="K350" s="1">
        <v>1769586</v>
      </c>
    </row>
    <row r="351" spans="1:11" x14ac:dyDescent="0.3">
      <c r="A351" s="1">
        <v>350</v>
      </c>
      <c r="B351" s="1" t="s">
        <v>14</v>
      </c>
      <c r="C351" s="1" t="s">
        <v>18</v>
      </c>
      <c r="D351" s="1" t="s">
        <v>21</v>
      </c>
      <c r="E351" s="1" t="s">
        <v>38</v>
      </c>
      <c r="F351" s="1" t="s">
        <v>53</v>
      </c>
      <c r="G351" s="2">
        <v>45279</v>
      </c>
      <c r="H351" s="1" t="s">
        <v>69</v>
      </c>
      <c r="I351" s="1">
        <v>1</v>
      </c>
      <c r="J351" s="1">
        <v>17343</v>
      </c>
      <c r="K351" s="1">
        <v>17343</v>
      </c>
    </row>
    <row r="352" spans="1:11" x14ac:dyDescent="0.3">
      <c r="A352" s="1">
        <v>351</v>
      </c>
      <c r="B352" s="1" t="s">
        <v>11</v>
      </c>
      <c r="C352" s="1" t="s">
        <v>17</v>
      </c>
      <c r="D352" s="1" t="s">
        <v>33</v>
      </c>
      <c r="E352" s="1" t="s">
        <v>37</v>
      </c>
      <c r="F352" s="1" t="s">
        <v>56</v>
      </c>
      <c r="G352" s="2">
        <v>45151</v>
      </c>
      <c r="H352" s="1" t="s">
        <v>72</v>
      </c>
      <c r="I352" s="1">
        <v>42</v>
      </c>
      <c r="J352" s="1">
        <v>24782</v>
      </c>
      <c r="K352" s="1">
        <v>1040844</v>
      </c>
    </row>
    <row r="353" spans="1:11" x14ac:dyDescent="0.3">
      <c r="A353" s="1">
        <v>352</v>
      </c>
      <c r="B353" s="1" t="s">
        <v>11</v>
      </c>
      <c r="C353" s="1" t="s">
        <v>16</v>
      </c>
      <c r="D353" s="1" t="s">
        <v>20</v>
      </c>
      <c r="E353" s="1" t="s">
        <v>37</v>
      </c>
      <c r="F353" s="1" t="s">
        <v>43</v>
      </c>
      <c r="G353" s="2">
        <v>44982</v>
      </c>
      <c r="H353" s="1" t="s">
        <v>70</v>
      </c>
      <c r="I353" s="1">
        <v>21</v>
      </c>
      <c r="J353" s="1">
        <v>10464</v>
      </c>
      <c r="K353" s="1">
        <v>219744</v>
      </c>
    </row>
    <row r="354" spans="1:11" x14ac:dyDescent="0.3">
      <c r="A354" s="1">
        <v>353</v>
      </c>
      <c r="B354" s="1" t="s">
        <v>15</v>
      </c>
      <c r="C354" s="1" t="s">
        <v>18</v>
      </c>
      <c r="D354" s="1" t="s">
        <v>19</v>
      </c>
      <c r="E354" s="1" t="s">
        <v>39</v>
      </c>
      <c r="F354" s="1" t="s">
        <v>57</v>
      </c>
      <c r="G354" s="2">
        <v>44939</v>
      </c>
      <c r="H354" s="1" t="s">
        <v>68</v>
      </c>
      <c r="I354" s="1">
        <v>41</v>
      </c>
      <c r="J354" s="1">
        <v>37660</v>
      </c>
      <c r="K354" s="1">
        <v>1544060</v>
      </c>
    </row>
    <row r="355" spans="1:11" x14ac:dyDescent="0.3">
      <c r="A355" s="1">
        <v>354</v>
      </c>
      <c r="B355" s="1" t="s">
        <v>13</v>
      </c>
      <c r="C355" s="1" t="s">
        <v>17</v>
      </c>
      <c r="D355" s="1" t="s">
        <v>27</v>
      </c>
      <c r="E355" s="1" t="s">
        <v>38</v>
      </c>
      <c r="F355" s="1" t="s">
        <v>60</v>
      </c>
      <c r="G355" s="2">
        <v>44964</v>
      </c>
      <c r="H355" s="1" t="s">
        <v>70</v>
      </c>
      <c r="I355" s="1">
        <v>20</v>
      </c>
      <c r="J355" s="1">
        <v>3857</v>
      </c>
      <c r="K355" s="1">
        <v>77140</v>
      </c>
    </row>
    <row r="356" spans="1:11" x14ac:dyDescent="0.3">
      <c r="A356" s="1">
        <v>355</v>
      </c>
      <c r="B356" s="1" t="s">
        <v>11</v>
      </c>
      <c r="C356" s="1" t="s">
        <v>17</v>
      </c>
      <c r="D356" s="1" t="s">
        <v>33</v>
      </c>
      <c r="E356" s="1" t="s">
        <v>37</v>
      </c>
      <c r="F356" s="1" t="s">
        <v>50</v>
      </c>
      <c r="G356" s="2">
        <v>45213</v>
      </c>
      <c r="H356" s="1" t="s">
        <v>63</v>
      </c>
      <c r="I356" s="1">
        <v>18</v>
      </c>
      <c r="J356" s="1">
        <v>10752</v>
      </c>
      <c r="K356" s="1">
        <v>193536</v>
      </c>
    </row>
    <row r="357" spans="1:11" x14ac:dyDescent="0.3">
      <c r="A357" s="1">
        <v>356</v>
      </c>
      <c r="B357" s="1" t="s">
        <v>15</v>
      </c>
      <c r="C357" s="1" t="s">
        <v>16</v>
      </c>
      <c r="D357" s="1" t="s">
        <v>34</v>
      </c>
      <c r="E357" s="1" t="s">
        <v>39</v>
      </c>
      <c r="F357" s="1" t="s">
        <v>60</v>
      </c>
      <c r="G357" s="2">
        <v>45011</v>
      </c>
      <c r="H357" s="1" t="s">
        <v>65</v>
      </c>
      <c r="I357" s="1">
        <v>13</v>
      </c>
      <c r="J357" s="1">
        <v>25959</v>
      </c>
      <c r="K357" s="1">
        <v>337467</v>
      </c>
    </row>
    <row r="358" spans="1:11" x14ac:dyDescent="0.3">
      <c r="A358" s="1">
        <v>357</v>
      </c>
      <c r="B358" s="1" t="s">
        <v>12</v>
      </c>
      <c r="C358" s="1" t="s">
        <v>16</v>
      </c>
      <c r="D358" s="1" t="s">
        <v>34</v>
      </c>
      <c r="E358" s="1" t="s">
        <v>35</v>
      </c>
      <c r="F358" s="1" t="s">
        <v>42</v>
      </c>
      <c r="G358" s="2">
        <v>45036</v>
      </c>
      <c r="H358" s="1" t="s">
        <v>67</v>
      </c>
      <c r="I358" s="1">
        <v>16</v>
      </c>
      <c r="J358" s="1">
        <v>5340</v>
      </c>
      <c r="K358" s="1">
        <v>85440</v>
      </c>
    </row>
    <row r="359" spans="1:11" x14ac:dyDescent="0.3">
      <c r="A359" s="1">
        <v>358</v>
      </c>
      <c r="B359" s="1" t="s">
        <v>15</v>
      </c>
      <c r="C359" s="1" t="s">
        <v>18</v>
      </c>
      <c r="D359" s="1" t="s">
        <v>25</v>
      </c>
      <c r="E359" s="1" t="s">
        <v>37</v>
      </c>
      <c r="F359" s="1" t="s">
        <v>42</v>
      </c>
      <c r="G359" s="2">
        <v>44977</v>
      </c>
      <c r="H359" s="1" t="s">
        <v>70</v>
      </c>
      <c r="I359" s="1">
        <v>35</v>
      </c>
      <c r="J359" s="1">
        <v>30644</v>
      </c>
      <c r="K359" s="1">
        <v>1072540</v>
      </c>
    </row>
    <row r="360" spans="1:11" x14ac:dyDescent="0.3">
      <c r="A360" s="1">
        <v>359</v>
      </c>
      <c r="B360" s="1" t="s">
        <v>14</v>
      </c>
      <c r="C360" s="1" t="s">
        <v>18</v>
      </c>
      <c r="D360" s="1" t="s">
        <v>29</v>
      </c>
      <c r="E360" s="1" t="s">
        <v>38</v>
      </c>
      <c r="F360" s="1" t="s">
        <v>57</v>
      </c>
      <c r="G360" s="2">
        <v>45158</v>
      </c>
      <c r="H360" s="1" t="s">
        <v>72</v>
      </c>
      <c r="I360" s="1">
        <v>27</v>
      </c>
      <c r="J360" s="1">
        <v>34376</v>
      </c>
      <c r="K360" s="1">
        <v>928152</v>
      </c>
    </row>
    <row r="361" spans="1:11" x14ac:dyDescent="0.3">
      <c r="A361" s="1">
        <v>360</v>
      </c>
      <c r="B361" s="1" t="s">
        <v>12</v>
      </c>
      <c r="C361" s="1" t="s">
        <v>17</v>
      </c>
      <c r="D361" s="1" t="s">
        <v>23</v>
      </c>
      <c r="E361" s="1" t="s">
        <v>36</v>
      </c>
      <c r="F361" s="1" t="s">
        <v>60</v>
      </c>
      <c r="G361" s="2">
        <v>45006</v>
      </c>
      <c r="H361" s="1" t="s">
        <v>65</v>
      </c>
      <c r="I361" s="1">
        <v>15</v>
      </c>
      <c r="J361" s="1">
        <v>9476</v>
      </c>
      <c r="K361" s="1">
        <v>142140</v>
      </c>
    </row>
    <row r="362" spans="1:11" x14ac:dyDescent="0.3">
      <c r="A362" s="1">
        <v>361</v>
      </c>
      <c r="B362" s="1" t="s">
        <v>15</v>
      </c>
      <c r="C362" s="1" t="s">
        <v>16</v>
      </c>
      <c r="D362" s="1" t="s">
        <v>19</v>
      </c>
      <c r="E362" s="1" t="s">
        <v>40</v>
      </c>
      <c r="F362" s="1" t="s">
        <v>58</v>
      </c>
      <c r="G362" s="2">
        <v>45032</v>
      </c>
      <c r="H362" s="1" t="s">
        <v>67</v>
      </c>
      <c r="I362" s="1">
        <v>6</v>
      </c>
      <c r="J362" s="1">
        <v>11055</v>
      </c>
      <c r="K362" s="1">
        <v>66330</v>
      </c>
    </row>
    <row r="363" spans="1:11" x14ac:dyDescent="0.3">
      <c r="A363" s="1">
        <v>362</v>
      </c>
      <c r="B363" s="1" t="s">
        <v>15</v>
      </c>
      <c r="C363" s="1" t="s">
        <v>18</v>
      </c>
      <c r="D363" s="1" t="s">
        <v>28</v>
      </c>
      <c r="E363" s="1" t="s">
        <v>40</v>
      </c>
      <c r="F363" s="1" t="s">
        <v>45</v>
      </c>
      <c r="G363" s="2">
        <v>45212</v>
      </c>
      <c r="H363" s="1" t="s">
        <v>63</v>
      </c>
      <c r="I363" s="1">
        <v>33</v>
      </c>
      <c r="J363" s="1">
        <v>14012</v>
      </c>
      <c r="K363" s="1">
        <v>462396</v>
      </c>
    </row>
    <row r="364" spans="1:11" x14ac:dyDescent="0.3">
      <c r="A364" s="1">
        <v>363</v>
      </c>
      <c r="B364" s="1" t="s">
        <v>12</v>
      </c>
      <c r="C364" s="1" t="s">
        <v>17</v>
      </c>
      <c r="D364" s="1" t="s">
        <v>29</v>
      </c>
      <c r="E364" s="1" t="s">
        <v>38</v>
      </c>
      <c r="F364" s="1" t="s">
        <v>53</v>
      </c>
      <c r="G364" s="2">
        <v>45283</v>
      </c>
      <c r="H364" s="1" t="s">
        <v>69</v>
      </c>
      <c r="I364" s="1">
        <v>8</v>
      </c>
      <c r="J364" s="1">
        <v>2979</v>
      </c>
      <c r="K364" s="1">
        <v>23832</v>
      </c>
    </row>
    <row r="365" spans="1:11" x14ac:dyDescent="0.3">
      <c r="A365" s="1">
        <v>364</v>
      </c>
      <c r="B365" s="1" t="s">
        <v>13</v>
      </c>
      <c r="C365" s="1" t="s">
        <v>16</v>
      </c>
      <c r="D365" s="1" t="s">
        <v>24</v>
      </c>
      <c r="E365" s="1" t="s">
        <v>40</v>
      </c>
      <c r="F365" s="1" t="s">
        <v>48</v>
      </c>
      <c r="G365" s="2">
        <v>44974</v>
      </c>
      <c r="H365" s="1" t="s">
        <v>70</v>
      </c>
      <c r="I365" s="1">
        <v>22</v>
      </c>
      <c r="J365" s="1">
        <v>22112</v>
      </c>
      <c r="K365" s="1">
        <v>486464</v>
      </c>
    </row>
    <row r="366" spans="1:11" x14ac:dyDescent="0.3">
      <c r="A366" s="1">
        <v>365</v>
      </c>
      <c r="B366" s="1" t="s">
        <v>15</v>
      </c>
      <c r="C366" s="1" t="s">
        <v>16</v>
      </c>
      <c r="D366" s="1" t="s">
        <v>34</v>
      </c>
      <c r="E366" s="1" t="s">
        <v>38</v>
      </c>
      <c r="F366" s="1" t="s">
        <v>52</v>
      </c>
      <c r="G366" s="2">
        <v>45037</v>
      </c>
      <c r="H366" s="1" t="s">
        <v>67</v>
      </c>
      <c r="I366" s="1">
        <v>6</v>
      </c>
      <c r="J366" s="1">
        <v>8569</v>
      </c>
      <c r="K366" s="1">
        <v>51414</v>
      </c>
    </row>
    <row r="367" spans="1:11" x14ac:dyDescent="0.3">
      <c r="A367" s="1">
        <v>366</v>
      </c>
      <c r="B367" s="1" t="s">
        <v>12</v>
      </c>
      <c r="C367" s="1" t="s">
        <v>17</v>
      </c>
      <c r="D367" s="1" t="s">
        <v>22</v>
      </c>
      <c r="E367" s="1" t="s">
        <v>37</v>
      </c>
      <c r="F367" s="1" t="s">
        <v>58</v>
      </c>
      <c r="G367" s="2">
        <v>45067</v>
      </c>
      <c r="H367" s="1" t="s">
        <v>61</v>
      </c>
      <c r="I367" s="1">
        <v>26</v>
      </c>
      <c r="J367" s="1">
        <v>25862</v>
      </c>
      <c r="K367" s="1">
        <v>672412</v>
      </c>
    </row>
    <row r="368" spans="1:11" x14ac:dyDescent="0.3">
      <c r="A368" s="1">
        <v>367</v>
      </c>
      <c r="B368" s="1" t="s">
        <v>13</v>
      </c>
      <c r="C368" s="1" t="s">
        <v>16</v>
      </c>
      <c r="D368" s="1" t="s">
        <v>34</v>
      </c>
      <c r="E368" s="1" t="s">
        <v>37</v>
      </c>
      <c r="F368" s="1" t="s">
        <v>41</v>
      </c>
      <c r="G368" s="2">
        <v>45281</v>
      </c>
      <c r="H368" s="1" t="s">
        <v>69</v>
      </c>
      <c r="I368" s="1">
        <v>41</v>
      </c>
      <c r="J368" s="1">
        <v>11658</v>
      </c>
      <c r="K368" s="1">
        <v>477978</v>
      </c>
    </row>
    <row r="369" spans="1:11" x14ac:dyDescent="0.3">
      <c r="A369" s="1">
        <v>368</v>
      </c>
      <c r="B369" s="1" t="s">
        <v>13</v>
      </c>
      <c r="C369" s="1" t="s">
        <v>16</v>
      </c>
      <c r="D369" s="1" t="s">
        <v>23</v>
      </c>
      <c r="E369" s="1" t="s">
        <v>38</v>
      </c>
      <c r="F369" s="1" t="s">
        <v>49</v>
      </c>
      <c r="G369" s="2">
        <v>45124</v>
      </c>
      <c r="H369" s="1" t="s">
        <v>64</v>
      </c>
      <c r="I369" s="1">
        <v>31</v>
      </c>
      <c r="J369" s="1">
        <v>12576</v>
      </c>
      <c r="K369" s="1">
        <v>389856</v>
      </c>
    </row>
    <row r="370" spans="1:11" x14ac:dyDescent="0.3">
      <c r="A370" s="1">
        <v>369</v>
      </c>
      <c r="B370" s="1" t="s">
        <v>11</v>
      </c>
      <c r="C370" s="1" t="s">
        <v>18</v>
      </c>
      <c r="D370" s="1" t="s">
        <v>32</v>
      </c>
      <c r="E370" s="1" t="s">
        <v>39</v>
      </c>
      <c r="F370" s="1" t="s">
        <v>44</v>
      </c>
      <c r="G370" s="2">
        <v>45049</v>
      </c>
      <c r="H370" s="1" t="s">
        <v>61</v>
      </c>
      <c r="I370" s="1">
        <v>7</v>
      </c>
      <c r="J370" s="1">
        <v>15838</v>
      </c>
      <c r="K370" s="1">
        <v>110866</v>
      </c>
    </row>
    <row r="371" spans="1:11" x14ac:dyDescent="0.3">
      <c r="A371" s="1">
        <v>370</v>
      </c>
      <c r="B371" s="1" t="s">
        <v>14</v>
      </c>
      <c r="C371" s="1" t="s">
        <v>17</v>
      </c>
      <c r="D371" s="1" t="s">
        <v>20</v>
      </c>
      <c r="E371" s="1" t="s">
        <v>36</v>
      </c>
      <c r="F371" s="1" t="s">
        <v>47</v>
      </c>
      <c r="G371" s="2">
        <v>45236</v>
      </c>
      <c r="H371" s="1" t="s">
        <v>62</v>
      </c>
      <c r="I371" s="1">
        <v>49</v>
      </c>
      <c r="J371" s="1">
        <v>48939</v>
      </c>
      <c r="K371" s="1">
        <v>2398011</v>
      </c>
    </row>
    <row r="372" spans="1:11" x14ac:dyDescent="0.3">
      <c r="A372" s="1">
        <v>371</v>
      </c>
      <c r="B372" s="1" t="s">
        <v>13</v>
      </c>
      <c r="C372" s="1" t="s">
        <v>17</v>
      </c>
      <c r="D372" s="1" t="s">
        <v>25</v>
      </c>
      <c r="E372" s="1" t="s">
        <v>40</v>
      </c>
      <c r="F372" s="1" t="s">
        <v>56</v>
      </c>
      <c r="G372" s="2">
        <v>45261</v>
      </c>
      <c r="H372" s="1" t="s">
        <v>69</v>
      </c>
      <c r="I372" s="1">
        <v>32</v>
      </c>
      <c r="J372" s="1">
        <v>6345</v>
      </c>
      <c r="K372" s="1">
        <v>203040</v>
      </c>
    </row>
    <row r="373" spans="1:11" x14ac:dyDescent="0.3">
      <c r="A373" s="1">
        <v>372</v>
      </c>
      <c r="B373" s="1" t="s">
        <v>13</v>
      </c>
      <c r="C373" s="1" t="s">
        <v>17</v>
      </c>
      <c r="D373" s="1" t="s">
        <v>33</v>
      </c>
      <c r="E373" s="1" t="s">
        <v>39</v>
      </c>
      <c r="F373" s="1" t="s">
        <v>44</v>
      </c>
      <c r="G373" s="2">
        <v>45057</v>
      </c>
      <c r="H373" s="1" t="s">
        <v>61</v>
      </c>
      <c r="I373" s="1">
        <v>2</v>
      </c>
      <c r="J373" s="1">
        <v>3731</v>
      </c>
      <c r="K373" s="1">
        <v>7462</v>
      </c>
    </row>
    <row r="374" spans="1:11" x14ac:dyDescent="0.3">
      <c r="A374" s="1">
        <v>373</v>
      </c>
      <c r="B374" s="1" t="s">
        <v>11</v>
      </c>
      <c r="C374" s="1" t="s">
        <v>16</v>
      </c>
      <c r="D374" s="1" t="s">
        <v>19</v>
      </c>
      <c r="E374" s="1" t="s">
        <v>36</v>
      </c>
      <c r="F374" s="1" t="s">
        <v>43</v>
      </c>
      <c r="G374" s="2">
        <v>44999</v>
      </c>
      <c r="H374" s="1" t="s">
        <v>65</v>
      </c>
      <c r="I374" s="1">
        <v>32</v>
      </c>
      <c r="J374" s="1">
        <v>4118</v>
      </c>
      <c r="K374" s="1">
        <v>131776</v>
      </c>
    </row>
    <row r="375" spans="1:11" x14ac:dyDescent="0.3">
      <c r="A375" s="1">
        <v>374</v>
      </c>
      <c r="B375" s="1" t="s">
        <v>11</v>
      </c>
      <c r="C375" s="1" t="s">
        <v>16</v>
      </c>
      <c r="D375" s="1" t="s">
        <v>34</v>
      </c>
      <c r="E375" s="1" t="s">
        <v>36</v>
      </c>
      <c r="F375" s="1" t="s">
        <v>51</v>
      </c>
      <c r="G375" s="2">
        <v>45090</v>
      </c>
      <c r="H375" s="1" t="s">
        <v>71</v>
      </c>
      <c r="I375" s="1">
        <v>22</v>
      </c>
      <c r="J375" s="1">
        <v>36718</v>
      </c>
      <c r="K375" s="1">
        <v>807796</v>
      </c>
    </row>
    <row r="376" spans="1:11" x14ac:dyDescent="0.3">
      <c r="A376" s="1">
        <v>375</v>
      </c>
      <c r="B376" s="1" t="s">
        <v>12</v>
      </c>
      <c r="C376" s="1" t="s">
        <v>18</v>
      </c>
      <c r="D376" s="1" t="s">
        <v>21</v>
      </c>
      <c r="E376" s="1" t="s">
        <v>40</v>
      </c>
      <c r="F376" s="1" t="s">
        <v>50</v>
      </c>
      <c r="G376" s="2">
        <v>45050</v>
      </c>
      <c r="H376" s="1" t="s">
        <v>61</v>
      </c>
      <c r="I376" s="1">
        <v>47</v>
      </c>
      <c r="J376" s="1">
        <v>35735</v>
      </c>
      <c r="K376" s="1">
        <v>1679545</v>
      </c>
    </row>
    <row r="377" spans="1:11" x14ac:dyDescent="0.3">
      <c r="A377" s="1">
        <v>376</v>
      </c>
      <c r="B377" s="1" t="s">
        <v>14</v>
      </c>
      <c r="C377" s="1" t="s">
        <v>16</v>
      </c>
      <c r="D377" s="1" t="s">
        <v>31</v>
      </c>
      <c r="E377" s="1" t="s">
        <v>36</v>
      </c>
      <c r="F377" s="1" t="s">
        <v>54</v>
      </c>
      <c r="G377" s="2">
        <v>45030</v>
      </c>
      <c r="H377" s="1" t="s">
        <v>67</v>
      </c>
      <c r="I377" s="1">
        <v>23</v>
      </c>
      <c r="J377" s="1">
        <v>47981</v>
      </c>
      <c r="K377" s="1">
        <v>1103563</v>
      </c>
    </row>
    <row r="378" spans="1:11" x14ac:dyDescent="0.3">
      <c r="A378" s="1">
        <v>377</v>
      </c>
      <c r="B378" s="1" t="s">
        <v>14</v>
      </c>
      <c r="C378" s="1" t="s">
        <v>16</v>
      </c>
      <c r="D378" s="1" t="s">
        <v>31</v>
      </c>
      <c r="E378" s="1" t="s">
        <v>37</v>
      </c>
      <c r="F378" s="1" t="s">
        <v>46</v>
      </c>
      <c r="G378" s="2">
        <v>44986</v>
      </c>
      <c r="H378" s="1" t="s">
        <v>65</v>
      </c>
      <c r="I378" s="1">
        <v>28</v>
      </c>
      <c r="J378" s="1">
        <v>22534</v>
      </c>
      <c r="K378" s="1">
        <v>630952</v>
      </c>
    </row>
    <row r="379" spans="1:11" x14ac:dyDescent="0.3">
      <c r="A379" s="1">
        <v>378</v>
      </c>
      <c r="B379" s="1" t="s">
        <v>15</v>
      </c>
      <c r="C379" s="1" t="s">
        <v>17</v>
      </c>
      <c r="D379" s="1" t="s">
        <v>24</v>
      </c>
      <c r="E379" s="1" t="s">
        <v>36</v>
      </c>
      <c r="F379" s="1" t="s">
        <v>48</v>
      </c>
      <c r="G379" s="2">
        <v>45009</v>
      </c>
      <c r="H379" s="1" t="s">
        <v>65</v>
      </c>
      <c r="I379" s="1">
        <v>41</v>
      </c>
      <c r="J379" s="1">
        <v>15901</v>
      </c>
      <c r="K379" s="1">
        <v>651941</v>
      </c>
    </row>
    <row r="380" spans="1:11" x14ac:dyDescent="0.3">
      <c r="A380" s="1">
        <v>379</v>
      </c>
      <c r="B380" s="1" t="s">
        <v>13</v>
      </c>
      <c r="C380" s="1" t="s">
        <v>18</v>
      </c>
      <c r="D380" s="1" t="s">
        <v>33</v>
      </c>
      <c r="E380" s="1" t="s">
        <v>36</v>
      </c>
      <c r="F380" s="1" t="s">
        <v>50</v>
      </c>
      <c r="G380" s="2">
        <v>45017</v>
      </c>
      <c r="H380" s="1" t="s">
        <v>67</v>
      </c>
      <c r="I380" s="1">
        <v>30</v>
      </c>
      <c r="J380" s="1">
        <v>21596</v>
      </c>
      <c r="K380" s="1">
        <v>647880</v>
      </c>
    </row>
    <row r="381" spans="1:11" x14ac:dyDescent="0.3">
      <c r="A381" s="1">
        <v>380</v>
      </c>
      <c r="B381" s="1" t="s">
        <v>14</v>
      </c>
      <c r="C381" s="1" t="s">
        <v>16</v>
      </c>
      <c r="D381" s="1" t="s">
        <v>21</v>
      </c>
      <c r="E381" s="1" t="s">
        <v>36</v>
      </c>
      <c r="F381" s="1" t="s">
        <v>54</v>
      </c>
      <c r="G381" s="2">
        <v>45201</v>
      </c>
      <c r="H381" s="1" t="s">
        <v>63</v>
      </c>
      <c r="I381" s="1">
        <v>44</v>
      </c>
      <c r="J381" s="1">
        <v>23746</v>
      </c>
      <c r="K381" s="1">
        <v>1044824</v>
      </c>
    </row>
    <row r="382" spans="1:11" x14ac:dyDescent="0.3">
      <c r="A382" s="1">
        <v>381</v>
      </c>
      <c r="B382" s="1" t="s">
        <v>12</v>
      </c>
      <c r="C382" s="1" t="s">
        <v>17</v>
      </c>
      <c r="D382" s="1" t="s">
        <v>19</v>
      </c>
      <c r="E382" s="1" t="s">
        <v>37</v>
      </c>
      <c r="F382" s="1" t="s">
        <v>44</v>
      </c>
      <c r="G382" s="2">
        <v>45241</v>
      </c>
      <c r="H382" s="1" t="s">
        <v>62</v>
      </c>
      <c r="I382" s="1">
        <v>7</v>
      </c>
      <c r="J382" s="1">
        <v>15628</v>
      </c>
      <c r="K382" s="1">
        <v>109396</v>
      </c>
    </row>
    <row r="383" spans="1:11" x14ac:dyDescent="0.3">
      <c r="A383" s="1">
        <v>382</v>
      </c>
      <c r="B383" s="1" t="s">
        <v>14</v>
      </c>
      <c r="C383" s="1" t="s">
        <v>18</v>
      </c>
      <c r="D383" s="1" t="s">
        <v>32</v>
      </c>
      <c r="E383" s="1" t="s">
        <v>35</v>
      </c>
      <c r="F383" s="1" t="s">
        <v>58</v>
      </c>
      <c r="G383" s="2">
        <v>45060</v>
      </c>
      <c r="H383" s="1" t="s">
        <v>61</v>
      </c>
      <c r="I383" s="1">
        <v>44</v>
      </c>
      <c r="J383" s="1">
        <v>27666</v>
      </c>
      <c r="K383" s="1">
        <v>1217304</v>
      </c>
    </row>
    <row r="384" spans="1:11" x14ac:dyDescent="0.3">
      <c r="A384" s="1">
        <v>383</v>
      </c>
      <c r="B384" s="1" t="s">
        <v>15</v>
      </c>
      <c r="C384" s="1" t="s">
        <v>16</v>
      </c>
      <c r="D384" s="1" t="s">
        <v>28</v>
      </c>
      <c r="E384" s="1" t="s">
        <v>35</v>
      </c>
      <c r="F384" s="1" t="s">
        <v>46</v>
      </c>
      <c r="G384" s="2">
        <v>45024</v>
      </c>
      <c r="H384" s="1" t="s">
        <v>67</v>
      </c>
      <c r="I384" s="1">
        <v>37</v>
      </c>
      <c r="J384" s="1">
        <v>14410</v>
      </c>
      <c r="K384" s="1">
        <v>533170</v>
      </c>
    </row>
    <row r="385" spans="1:11" x14ac:dyDescent="0.3">
      <c r="A385" s="1">
        <v>384</v>
      </c>
      <c r="B385" s="1" t="s">
        <v>12</v>
      </c>
      <c r="C385" s="1" t="s">
        <v>17</v>
      </c>
      <c r="D385" s="1" t="s">
        <v>33</v>
      </c>
      <c r="E385" s="1" t="s">
        <v>36</v>
      </c>
      <c r="F385" s="1" t="s">
        <v>41</v>
      </c>
      <c r="G385" s="2">
        <v>45241</v>
      </c>
      <c r="H385" s="1" t="s">
        <v>62</v>
      </c>
      <c r="I385" s="1">
        <v>3</v>
      </c>
      <c r="J385" s="1">
        <v>23578</v>
      </c>
      <c r="K385" s="1">
        <v>70734</v>
      </c>
    </row>
    <row r="386" spans="1:11" x14ac:dyDescent="0.3">
      <c r="A386" s="1">
        <v>385</v>
      </c>
      <c r="B386" s="1" t="s">
        <v>12</v>
      </c>
      <c r="C386" s="1" t="s">
        <v>17</v>
      </c>
      <c r="D386" s="1" t="s">
        <v>27</v>
      </c>
      <c r="E386" s="1" t="s">
        <v>38</v>
      </c>
      <c r="F386" s="1" t="s">
        <v>48</v>
      </c>
      <c r="G386" s="2">
        <v>45164</v>
      </c>
      <c r="H386" s="1" t="s">
        <v>72</v>
      </c>
      <c r="I386" s="1">
        <v>42</v>
      </c>
      <c r="J386" s="1">
        <v>46743</v>
      </c>
      <c r="K386" s="1">
        <v>1963206</v>
      </c>
    </row>
    <row r="387" spans="1:11" x14ac:dyDescent="0.3">
      <c r="A387" s="1">
        <v>386</v>
      </c>
      <c r="B387" s="1" t="s">
        <v>11</v>
      </c>
      <c r="C387" s="1" t="s">
        <v>16</v>
      </c>
      <c r="D387" s="1" t="s">
        <v>24</v>
      </c>
      <c r="E387" s="1" t="s">
        <v>37</v>
      </c>
      <c r="F387" s="1" t="s">
        <v>49</v>
      </c>
      <c r="G387" s="2">
        <v>45174</v>
      </c>
      <c r="H387" s="1" t="s">
        <v>66</v>
      </c>
      <c r="I387" s="1">
        <v>9</v>
      </c>
      <c r="J387" s="1">
        <v>32833</v>
      </c>
      <c r="K387" s="1">
        <v>295497</v>
      </c>
    </row>
    <row r="388" spans="1:11" x14ac:dyDescent="0.3">
      <c r="A388" s="1">
        <v>387</v>
      </c>
      <c r="B388" s="1" t="s">
        <v>13</v>
      </c>
      <c r="C388" s="1" t="s">
        <v>16</v>
      </c>
      <c r="D388" s="1" t="s">
        <v>26</v>
      </c>
      <c r="E388" s="1" t="s">
        <v>39</v>
      </c>
      <c r="F388" s="1" t="s">
        <v>46</v>
      </c>
      <c r="G388" s="2">
        <v>45033</v>
      </c>
      <c r="H388" s="1" t="s">
        <v>67</v>
      </c>
      <c r="I388" s="1">
        <v>37</v>
      </c>
      <c r="J388" s="1">
        <v>30485</v>
      </c>
      <c r="K388" s="1">
        <v>1127945</v>
      </c>
    </row>
    <row r="389" spans="1:11" x14ac:dyDescent="0.3">
      <c r="A389" s="1">
        <v>388</v>
      </c>
      <c r="B389" s="1" t="s">
        <v>11</v>
      </c>
      <c r="C389" s="1" t="s">
        <v>16</v>
      </c>
      <c r="D389" s="1" t="s">
        <v>19</v>
      </c>
      <c r="E389" s="1" t="s">
        <v>36</v>
      </c>
      <c r="F389" s="1" t="s">
        <v>51</v>
      </c>
      <c r="G389" s="2">
        <v>45288</v>
      </c>
      <c r="H389" s="1" t="s">
        <v>69</v>
      </c>
      <c r="I389" s="1">
        <v>17</v>
      </c>
      <c r="J389" s="1">
        <v>31622</v>
      </c>
      <c r="K389" s="1">
        <v>537574</v>
      </c>
    </row>
    <row r="390" spans="1:11" x14ac:dyDescent="0.3">
      <c r="A390" s="1">
        <v>389</v>
      </c>
      <c r="B390" s="1" t="s">
        <v>15</v>
      </c>
      <c r="C390" s="1" t="s">
        <v>18</v>
      </c>
      <c r="D390" s="1" t="s">
        <v>33</v>
      </c>
      <c r="E390" s="1" t="s">
        <v>40</v>
      </c>
      <c r="F390" s="1" t="s">
        <v>57</v>
      </c>
      <c r="G390" s="2">
        <v>45272</v>
      </c>
      <c r="H390" s="1" t="s">
        <v>69</v>
      </c>
      <c r="I390" s="1">
        <v>50</v>
      </c>
      <c r="J390" s="1">
        <v>37028</v>
      </c>
      <c r="K390" s="1">
        <v>1851400</v>
      </c>
    </row>
    <row r="391" spans="1:11" x14ac:dyDescent="0.3">
      <c r="A391" s="1">
        <v>390</v>
      </c>
      <c r="B391" s="1" t="s">
        <v>15</v>
      </c>
      <c r="C391" s="1" t="s">
        <v>18</v>
      </c>
      <c r="D391" s="1" t="s">
        <v>24</v>
      </c>
      <c r="E391" s="1" t="s">
        <v>35</v>
      </c>
      <c r="F391" s="1" t="s">
        <v>51</v>
      </c>
      <c r="G391" s="2">
        <v>45023</v>
      </c>
      <c r="H391" s="1" t="s">
        <v>67</v>
      </c>
      <c r="I391" s="1">
        <v>25</v>
      </c>
      <c r="J391" s="1">
        <v>17314</v>
      </c>
      <c r="K391" s="1">
        <v>432850</v>
      </c>
    </row>
    <row r="392" spans="1:11" x14ac:dyDescent="0.3">
      <c r="A392" s="1">
        <v>391</v>
      </c>
      <c r="B392" s="1" t="s">
        <v>11</v>
      </c>
      <c r="C392" s="1" t="s">
        <v>17</v>
      </c>
      <c r="D392" s="1" t="s">
        <v>28</v>
      </c>
      <c r="E392" s="1" t="s">
        <v>40</v>
      </c>
      <c r="F392" s="1" t="s">
        <v>57</v>
      </c>
      <c r="G392" s="2">
        <v>45146</v>
      </c>
      <c r="H392" s="1" t="s">
        <v>72</v>
      </c>
      <c r="I392" s="1">
        <v>8</v>
      </c>
      <c r="J392" s="1">
        <v>40681</v>
      </c>
      <c r="K392" s="1">
        <v>325448</v>
      </c>
    </row>
    <row r="393" spans="1:11" x14ac:dyDescent="0.3">
      <c r="A393" s="1">
        <v>392</v>
      </c>
      <c r="B393" s="1" t="s">
        <v>11</v>
      </c>
      <c r="C393" s="1" t="s">
        <v>17</v>
      </c>
      <c r="D393" s="1" t="s">
        <v>31</v>
      </c>
      <c r="E393" s="1" t="s">
        <v>37</v>
      </c>
      <c r="F393" s="1" t="s">
        <v>42</v>
      </c>
      <c r="G393" s="2">
        <v>44954</v>
      </c>
      <c r="H393" s="1" t="s">
        <v>68</v>
      </c>
      <c r="I393" s="1">
        <v>17</v>
      </c>
      <c r="J393" s="1">
        <v>36650</v>
      </c>
      <c r="K393" s="1">
        <v>623050</v>
      </c>
    </row>
    <row r="394" spans="1:11" x14ac:dyDescent="0.3">
      <c r="A394" s="1">
        <v>393</v>
      </c>
      <c r="B394" s="1" t="s">
        <v>11</v>
      </c>
      <c r="C394" s="1" t="s">
        <v>16</v>
      </c>
      <c r="D394" s="1" t="s">
        <v>30</v>
      </c>
      <c r="E394" s="1" t="s">
        <v>35</v>
      </c>
      <c r="F394" s="1" t="s">
        <v>60</v>
      </c>
      <c r="G394" s="2">
        <v>45091</v>
      </c>
      <c r="H394" s="1" t="s">
        <v>71</v>
      </c>
      <c r="I394" s="1">
        <v>29</v>
      </c>
      <c r="J394" s="1">
        <v>29248</v>
      </c>
      <c r="K394" s="1">
        <v>848192</v>
      </c>
    </row>
    <row r="395" spans="1:11" x14ac:dyDescent="0.3">
      <c r="A395" s="1">
        <v>394</v>
      </c>
      <c r="B395" s="1" t="s">
        <v>14</v>
      </c>
      <c r="C395" s="1" t="s">
        <v>17</v>
      </c>
      <c r="D395" s="1" t="s">
        <v>30</v>
      </c>
      <c r="E395" s="1" t="s">
        <v>40</v>
      </c>
      <c r="F395" s="1" t="s">
        <v>60</v>
      </c>
      <c r="G395" s="2">
        <v>45268</v>
      </c>
      <c r="H395" s="1" t="s">
        <v>69</v>
      </c>
      <c r="I395" s="1">
        <v>32</v>
      </c>
      <c r="J395" s="1">
        <v>34738</v>
      </c>
      <c r="K395" s="1">
        <v>1111616</v>
      </c>
    </row>
    <row r="396" spans="1:11" x14ac:dyDescent="0.3">
      <c r="A396" s="1">
        <v>395</v>
      </c>
      <c r="B396" s="1" t="s">
        <v>13</v>
      </c>
      <c r="C396" s="1" t="s">
        <v>16</v>
      </c>
      <c r="D396" s="1" t="s">
        <v>19</v>
      </c>
      <c r="E396" s="1" t="s">
        <v>36</v>
      </c>
      <c r="F396" s="1" t="s">
        <v>47</v>
      </c>
      <c r="G396" s="2">
        <v>45099</v>
      </c>
      <c r="H396" s="1" t="s">
        <v>71</v>
      </c>
      <c r="I396" s="1">
        <v>8</v>
      </c>
      <c r="J396" s="1">
        <v>28344</v>
      </c>
      <c r="K396" s="1">
        <v>226752</v>
      </c>
    </row>
    <row r="397" spans="1:11" x14ac:dyDescent="0.3">
      <c r="A397" s="1">
        <v>396</v>
      </c>
      <c r="B397" s="1" t="s">
        <v>11</v>
      </c>
      <c r="C397" s="1" t="s">
        <v>18</v>
      </c>
      <c r="D397" s="1" t="s">
        <v>24</v>
      </c>
      <c r="E397" s="1" t="s">
        <v>37</v>
      </c>
      <c r="F397" s="1" t="s">
        <v>59</v>
      </c>
      <c r="G397" s="2">
        <v>44959</v>
      </c>
      <c r="H397" s="1" t="s">
        <v>70</v>
      </c>
      <c r="I397" s="1">
        <v>46</v>
      </c>
      <c r="J397" s="1">
        <v>35893</v>
      </c>
      <c r="K397" s="1">
        <v>1651078</v>
      </c>
    </row>
    <row r="398" spans="1:11" x14ac:dyDescent="0.3">
      <c r="A398" s="1">
        <v>397</v>
      </c>
      <c r="B398" s="1" t="s">
        <v>14</v>
      </c>
      <c r="C398" s="1" t="s">
        <v>16</v>
      </c>
      <c r="D398" s="1" t="s">
        <v>19</v>
      </c>
      <c r="E398" s="1" t="s">
        <v>39</v>
      </c>
      <c r="F398" s="1" t="s">
        <v>46</v>
      </c>
      <c r="G398" s="2">
        <v>45164</v>
      </c>
      <c r="H398" s="1" t="s">
        <v>72</v>
      </c>
      <c r="I398" s="1">
        <v>36</v>
      </c>
      <c r="J398" s="1">
        <v>25872</v>
      </c>
      <c r="K398" s="1">
        <v>931392</v>
      </c>
    </row>
    <row r="399" spans="1:11" x14ac:dyDescent="0.3">
      <c r="A399" s="1">
        <v>398</v>
      </c>
      <c r="B399" s="1" t="s">
        <v>14</v>
      </c>
      <c r="C399" s="1" t="s">
        <v>17</v>
      </c>
      <c r="D399" s="1" t="s">
        <v>21</v>
      </c>
      <c r="E399" s="1" t="s">
        <v>37</v>
      </c>
      <c r="F399" s="1" t="s">
        <v>47</v>
      </c>
      <c r="G399" s="2">
        <v>44958</v>
      </c>
      <c r="H399" s="1" t="s">
        <v>70</v>
      </c>
      <c r="I399" s="1">
        <v>20</v>
      </c>
      <c r="J399" s="1">
        <v>3003</v>
      </c>
      <c r="K399" s="1">
        <v>60060</v>
      </c>
    </row>
    <row r="400" spans="1:11" x14ac:dyDescent="0.3">
      <c r="A400" s="1">
        <v>399</v>
      </c>
      <c r="B400" s="1" t="s">
        <v>14</v>
      </c>
      <c r="C400" s="1" t="s">
        <v>17</v>
      </c>
      <c r="D400" s="1" t="s">
        <v>20</v>
      </c>
      <c r="E400" s="1" t="s">
        <v>39</v>
      </c>
      <c r="F400" s="1" t="s">
        <v>55</v>
      </c>
      <c r="G400" s="2">
        <v>45263</v>
      </c>
      <c r="H400" s="1" t="s">
        <v>69</v>
      </c>
      <c r="I400" s="1">
        <v>40</v>
      </c>
      <c r="J400" s="1">
        <v>20426</v>
      </c>
      <c r="K400" s="1">
        <v>817040</v>
      </c>
    </row>
    <row r="401" spans="1:11" x14ac:dyDescent="0.3">
      <c r="A401" s="1">
        <v>400</v>
      </c>
      <c r="B401" s="1" t="s">
        <v>11</v>
      </c>
      <c r="C401" s="1" t="s">
        <v>18</v>
      </c>
      <c r="D401" s="1" t="s">
        <v>30</v>
      </c>
      <c r="E401" s="1" t="s">
        <v>39</v>
      </c>
      <c r="F401" s="1" t="s">
        <v>60</v>
      </c>
      <c r="G401" s="2">
        <v>45200</v>
      </c>
      <c r="H401" s="1" t="s">
        <v>63</v>
      </c>
      <c r="I401" s="1">
        <v>16</v>
      </c>
      <c r="J401" s="1">
        <v>30804</v>
      </c>
      <c r="K401" s="1">
        <v>492864</v>
      </c>
    </row>
    <row r="402" spans="1:11" x14ac:dyDescent="0.3">
      <c r="A402" s="1">
        <v>401</v>
      </c>
      <c r="B402" s="1" t="s">
        <v>11</v>
      </c>
      <c r="C402" s="1" t="s">
        <v>18</v>
      </c>
      <c r="D402" s="1" t="s">
        <v>24</v>
      </c>
      <c r="E402" s="1" t="s">
        <v>35</v>
      </c>
      <c r="F402" s="1" t="s">
        <v>41</v>
      </c>
      <c r="G402" s="2">
        <v>45108</v>
      </c>
      <c r="H402" s="1" t="s">
        <v>64</v>
      </c>
      <c r="I402" s="1">
        <v>27</v>
      </c>
      <c r="J402" s="1">
        <v>19821</v>
      </c>
      <c r="K402" s="1">
        <v>535167</v>
      </c>
    </row>
    <row r="403" spans="1:11" x14ac:dyDescent="0.3">
      <c r="A403" s="1">
        <v>402</v>
      </c>
      <c r="B403" s="1" t="s">
        <v>12</v>
      </c>
      <c r="C403" s="1" t="s">
        <v>18</v>
      </c>
      <c r="D403" s="1" t="s">
        <v>31</v>
      </c>
      <c r="E403" s="1" t="s">
        <v>36</v>
      </c>
      <c r="F403" s="1" t="s">
        <v>57</v>
      </c>
      <c r="G403" s="2">
        <v>45051</v>
      </c>
      <c r="H403" s="1" t="s">
        <v>61</v>
      </c>
      <c r="I403" s="1">
        <v>48</v>
      </c>
      <c r="J403" s="1">
        <v>14091</v>
      </c>
      <c r="K403" s="1">
        <v>676368</v>
      </c>
    </row>
    <row r="404" spans="1:11" x14ac:dyDescent="0.3">
      <c r="A404" s="1">
        <v>403</v>
      </c>
      <c r="B404" s="1" t="s">
        <v>12</v>
      </c>
      <c r="C404" s="1" t="s">
        <v>17</v>
      </c>
      <c r="D404" s="1" t="s">
        <v>20</v>
      </c>
      <c r="E404" s="1" t="s">
        <v>38</v>
      </c>
      <c r="F404" s="1" t="s">
        <v>58</v>
      </c>
      <c r="G404" s="2">
        <v>44993</v>
      </c>
      <c r="H404" s="1" t="s">
        <v>65</v>
      </c>
      <c r="I404" s="1">
        <v>7</v>
      </c>
      <c r="J404" s="1">
        <v>25517</v>
      </c>
      <c r="K404" s="1">
        <v>178619</v>
      </c>
    </row>
    <row r="405" spans="1:11" x14ac:dyDescent="0.3">
      <c r="A405" s="1">
        <v>404</v>
      </c>
      <c r="B405" s="1" t="s">
        <v>12</v>
      </c>
      <c r="C405" s="1" t="s">
        <v>18</v>
      </c>
      <c r="D405" s="1" t="s">
        <v>20</v>
      </c>
      <c r="E405" s="1" t="s">
        <v>35</v>
      </c>
      <c r="F405" s="1" t="s">
        <v>58</v>
      </c>
      <c r="G405" s="2">
        <v>45244</v>
      </c>
      <c r="H405" s="1" t="s">
        <v>62</v>
      </c>
      <c r="I405" s="1">
        <v>14</v>
      </c>
      <c r="J405" s="1">
        <v>22668</v>
      </c>
      <c r="K405" s="1">
        <v>317352</v>
      </c>
    </row>
    <row r="406" spans="1:11" x14ac:dyDescent="0.3">
      <c r="A406" s="1">
        <v>405</v>
      </c>
      <c r="B406" s="1" t="s">
        <v>12</v>
      </c>
      <c r="C406" s="1" t="s">
        <v>18</v>
      </c>
      <c r="D406" s="1" t="s">
        <v>26</v>
      </c>
      <c r="E406" s="1" t="s">
        <v>40</v>
      </c>
      <c r="F406" s="1" t="s">
        <v>57</v>
      </c>
      <c r="G406" s="2">
        <v>44945</v>
      </c>
      <c r="H406" s="1" t="s">
        <v>68</v>
      </c>
      <c r="I406" s="1">
        <v>40</v>
      </c>
      <c r="J406" s="1">
        <v>12550</v>
      </c>
      <c r="K406" s="1">
        <v>502000</v>
      </c>
    </row>
    <row r="407" spans="1:11" x14ac:dyDescent="0.3">
      <c r="A407" s="1">
        <v>406</v>
      </c>
      <c r="B407" s="1" t="s">
        <v>11</v>
      </c>
      <c r="C407" s="1" t="s">
        <v>16</v>
      </c>
      <c r="D407" s="1" t="s">
        <v>23</v>
      </c>
      <c r="E407" s="1" t="s">
        <v>40</v>
      </c>
      <c r="F407" s="1" t="s">
        <v>53</v>
      </c>
      <c r="G407" s="2">
        <v>44938</v>
      </c>
      <c r="H407" s="1" t="s">
        <v>68</v>
      </c>
      <c r="I407" s="1">
        <v>21</v>
      </c>
      <c r="J407" s="1">
        <v>38205</v>
      </c>
      <c r="K407" s="1">
        <v>802305</v>
      </c>
    </row>
    <row r="408" spans="1:11" x14ac:dyDescent="0.3">
      <c r="A408" s="1">
        <v>407</v>
      </c>
      <c r="B408" s="1" t="s">
        <v>15</v>
      </c>
      <c r="C408" s="1" t="s">
        <v>18</v>
      </c>
      <c r="D408" s="1" t="s">
        <v>29</v>
      </c>
      <c r="E408" s="1" t="s">
        <v>39</v>
      </c>
      <c r="F408" s="1" t="s">
        <v>43</v>
      </c>
      <c r="G408" s="2">
        <v>45267</v>
      </c>
      <c r="H408" s="1" t="s">
        <v>69</v>
      </c>
      <c r="I408" s="1">
        <v>13</v>
      </c>
      <c r="J408" s="1">
        <v>41178</v>
      </c>
      <c r="K408" s="1">
        <v>535314</v>
      </c>
    </row>
    <row r="409" spans="1:11" x14ac:dyDescent="0.3">
      <c r="A409" s="1">
        <v>408</v>
      </c>
      <c r="B409" s="1" t="s">
        <v>14</v>
      </c>
      <c r="C409" s="1" t="s">
        <v>16</v>
      </c>
      <c r="D409" s="1" t="s">
        <v>23</v>
      </c>
      <c r="E409" s="1" t="s">
        <v>39</v>
      </c>
      <c r="F409" s="1" t="s">
        <v>44</v>
      </c>
      <c r="G409" s="2">
        <v>45191</v>
      </c>
      <c r="H409" s="1" t="s">
        <v>66</v>
      </c>
      <c r="I409" s="1">
        <v>45</v>
      </c>
      <c r="J409" s="1">
        <v>18049</v>
      </c>
      <c r="K409" s="1">
        <v>812205</v>
      </c>
    </row>
    <row r="410" spans="1:11" x14ac:dyDescent="0.3">
      <c r="A410" s="1">
        <v>409</v>
      </c>
      <c r="B410" s="1" t="s">
        <v>15</v>
      </c>
      <c r="C410" s="1" t="s">
        <v>16</v>
      </c>
      <c r="D410" s="1" t="s">
        <v>27</v>
      </c>
      <c r="E410" s="1" t="s">
        <v>39</v>
      </c>
      <c r="F410" s="1" t="s">
        <v>60</v>
      </c>
      <c r="G410" s="2">
        <v>45212</v>
      </c>
      <c r="H410" s="1" t="s">
        <v>63</v>
      </c>
      <c r="I410" s="1">
        <v>37</v>
      </c>
      <c r="J410" s="1">
        <v>2660</v>
      </c>
      <c r="K410" s="1">
        <v>98420</v>
      </c>
    </row>
    <row r="411" spans="1:11" x14ac:dyDescent="0.3">
      <c r="A411" s="1">
        <v>410</v>
      </c>
      <c r="B411" s="1" t="s">
        <v>12</v>
      </c>
      <c r="C411" s="1" t="s">
        <v>16</v>
      </c>
      <c r="D411" s="1" t="s">
        <v>20</v>
      </c>
      <c r="E411" s="1" t="s">
        <v>38</v>
      </c>
      <c r="F411" s="1" t="s">
        <v>41</v>
      </c>
      <c r="G411" s="2">
        <v>45108</v>
      </c>
      <c r="H411" s="1" t="s">
        <v>64</v>
      </c>
      <c r="I411" s="1">
        <v>2</v>
      </c>
      <c r="J411" s="1">
        <v>3657</v>
      </c>
      <c r="K411" s="1">
        <v>7314</v>
      </c>
    </row>
    <row r="412" spans="1:11" x14ac:dyDescent="0.3">
      <c r="A412" s="1">
        <v>411</v>
      </c>
      <c r="B412" s="1" t="s">
        <v>12</v>
      </c>
      <c r="C412" s="1" t="s">
        <v>16</v>
      </c>
      <c r="D412" s="1" t="s">
        <v>21</v>
      </c>
      <c r="E412" s="1" t="s">
        <v>38</v>
      </c>
      <c r="F412" s="1" t="s">
        <v>42</v>
      </c>
      <c r="G412" s="2">
        <v>45145</v>
      </c>
      <c r="H412" s="1" t="s">
        <v>72</v>
      </c>
      <c r="I412" s="1">
        <v>12</v>
      </c>
      <c r="J412" s="1">
        <v>2266</v>
      </c>
      <c r="K412" s="1">
        <v>27192</v>
      </c>
    </row>
    <row r="413" spans="1:11" x14ac:dyDescent="0.3">
      <c r="A413" s="1">
        <v>412</v>
      </c>
      <c r="B413" s="1" t="s">
        <v>13</v>
      </c>
      <c r="C413" s="1" t="s">
        <v>16</v>
      </c>
      <c r="D413" s="1" t="s">
        <v>34</v>
      </c>
      <c r="E413" s="1" t="s">
        <v>39</v>
      </c>
      <c r="F413" s="1" t="s">
        <v>44</v>
      </c>
      <c r="G413" s="2">
        <v>45043</v>
      </c>
      <c r="H413" s="1" t="s">
        <v>67</v>
      </c>
      <c r="I413" s="1">
        <v>3</v>
      </c>
      <c r="J413" s="1">
        <v>46348</v>
      </c>
      <c r="K413" s="1">
        <v>139044</v>
      </c>
    </row>
    <row r="414" spans="1:11" x14ac:dyDescent="0.3">
      <c r="A414" s="1">
        <v>413</v>
      </c>
      <c r="B414" s="1" t="s">
        <v>15</v>
      </c>
      <c r="C414" s="1" t="s">
        <v>18</v>
      </c>
      <c r="D414" s="1" t="s">
        <v>20</v>
      </c>
      <c r="E414" s="1" t="s">
        <v>38</v>
      </c>
      <c r="F414" s="1" t="s">
        <v>50</v>
      </c>
      <c r="G414" s="2">
        <v>45079</v>
      </c>
      <c r="H414" s="1" t="s">
        <v>71</v>
      </c>
      <c r="I414" s="1">
        <v>49</v>
      </c>
      <c r="J414" s="1">
        <v>31973</v>
      </c>
      <c r="K414" s="1">
        <v>1566677</v>
      </c>
    </row>
    <row r="415" spans="1:11" x14ac:dyDescent="0.3">
      <c r="A415" s="1">
        <v>414</v>
      </c>
      <c r="B415" s="1" t="s">
        <v>15</v>
      </c>
      <c r="C415" s="1" t="s">
        <v>17</v>
      </c>
      <c r="D415" s="1" t="s">
        <v>34</v>
      </c>
      <c r="E415" s="1" t="s">
        <v>37</v>
      </c>
      <c r="F415" s="1" t="s">
        <v>59</v>
      </c>
      <c r="G415" s="2">
        <v>45157</v>
      </c>
      <c r="H415" s="1" t="s">
        <v>72</v>
      </c>
      <c r="I415" s="1">
        <v>41</v>
      </c>
      <c r="J415" s="1">
        <v>12440</v>
      </c>
      <c r="K415" s="1">
        <v>510040</v>
      </c>
    </row>
    <row r="416" spans="1:11" x14ac:dyDescent="0.3">
      <c r="A416" s="1">
        <v>415</v>
      </c>
      <c r="B416" s="1" t="s">
        <v>12</v>
      </c>
      <c r="C416" s="1" t="s">
        <v>18</v>
      </c>
      <c r="D416" s="1" t="s">
        <v>25</v>
      </c>
      <c r="E416" s="1" t="s">
        <v>39</v>
      </c>
      <c r="F416" s="1" t="s">
        <v>47</v>
      </c>
      <c r="G416" s="2">
        <v>44949</v>
      </c>
      <c r="H416" s="1" t="s">
        <v>68</v>
      </c>
      <c r="I416" s="1">
        <v>21</v>
      </c>
      <c r="J416" s="1">
        <v>22985</v>
      </c>
      <c r="K416" s="1">
        <v>482685</v>
      </c>
    </row>
    <row r="417" spans="1:11" x14ac:dyDescent="0.3">
      <c r="A417" s="1">
        <v>416</v>
      </c>
      <c r="B417" s="1" t="s">
        <v>11</v>
      </c>
      <c r="C417" s="1" t="s">
        <v>17</v>
      </c>
      <c r="D417" s="1" t="s">
        <v>27</v>
      </c>
      <c r="E417" s="1" t="s">
        <v>36</v>
      </c>
      <c r="F417" s="1" t="s">
        <v>55</v>
      </c>
      <c r="G417" s="2">
        <v>45227</v>
      </c>
      <c r="H417" s="1" t="s">
        <v>63</v>
      </c>
      <c r="I417" s="1">
        <v>17</v>
      </c>
      <c r="J417" s="1">
        <v>18800</v>
      </c>
      <c r="K417" s="1">
        <v>319600</v>
      </c>
    </row>
    <row r="418" spans="1:11" x14ac:dyDescent="0.3">
      <c r="A418" s="1">
        <v>417</v>
      </c>
      <c r="B418" s="1" t="s">
        <v>15</v>
      </c>
      <c r="C418" s="1" t="s">
        <v>17</v>
      </c>
      <c r="D418" s="1" t="s">
        <v>24</v>
      </c>
      <c r="E418" s="1" t="s">
        <v>39</v>
      </c>
      <c r="F418" s="1" t="s">
        <v>54</v>
      </c>
      <c r="G418" s="2">
        <v>44982</v>
      </c>
      <c r="H418" s="1" t="s">
        <v>70</v>
      </c>
      <c r="I418" s="1">
        <v>5</v>
      </c>
      <c r="J418" s="1">
        <v>14944</v>
      </c>
      <c r="K418" s="1">
        <v>74720</v>
      </c>
    </row>
    <row r="419" spans="1:11" x14ac:dyDescent="0.3">
      <c r="A419" s="1">
        <v>418</v>
      </c>
      <c r="B419" s="1" t="s">
        <v>11</v>
      </c>
      <c r="C419" s="1" t="s">
        <v>18</v>
      </c>
      <c r="D419" s="1" t="s">
        <v>34</v>
      </c>
      <c r="E419" s="1" t="s">
        <v>36</v>
      </c>
      <c r="F419" s="1" t="s">
        <v>53</v>
      </c>
      <c r="G419" s="2">
        <v>45011</v>
      </c>
      <c r="H419" s="1" t="s">
        <v>65</v>
      </c>
      <c r="I419" s="1">
        <v>32</v>
      </c>
      <c r="J419" s="1">
        <v>31644</v>
      </c>
      <c r="K419" s="1">
        <v>1012608</v>
      </c>
    </row>
    <row r="420" spans="1:11" x14ac:dyDescent="0.3">
      <c r="A420" s="1">
        <v>419</v>
      </c>
      <c r="B420" s="1" t="s">
        <v>13</v>
      </c>
      <c r="C420" s="1" t="s">
        <v>18</v>
      </c>
      <c r="D420" s="1" t="s">
        <v>28</v>
      </c>
      <c r="E420" s="1" t="s">
        <v>36</v>
      </c>
      <c r="F420" s="1" t="s">
        <v>55</v>
      </c>
      <c r="G420" s="2">
        <v>45012</v>
      </c>
      <c r="H420" s="1" t="s">
        <v>65</v>
      </c>
      <c r="I420" s="1">
        <v>4</v>
      </c>
      <c r="J420" s="1">
        <v>27572</v>
      </c>
      <c r="K420" s="1">
        <v>110288</v>
      </c>
    </row>
    <row r="421" spans="1:11" x14ac:dyDescent="0.3">
      <c r="A421" s="1">
        <v>420</v>
      </c>
      <c r="B421" s="1" t="s">
        <v>13</v>
      </c>
      <c r="C421" s="1" t="s">
        <v>16</v>
      </c>
      <c r="D421" s="1" t="s">
        <v>26</v>
      </c>
      <c r="E421" s="1" t="s">
        <v>35</v>
      </c>
      <c r="F421" s="1" t="s">
        <v>59</v>
      </c>
      <c r="G421" s="2">
        <v>45224</v>
      </c>
      <c r="H421" s="1" t="s">
        <v>63</v>
      </c>
      <c r="I421" s="1">
        <v>37</v>
      </c>
      <c r="J421" s="1">
        <v>5817</v>
      </c>
      <c r="K421" s="1">
        <v>215229</v>
      </c>
    </row>
    <row r="422" spans="1:11" x14ac:dyDescent="0.3">
      <c r="A422" s="1">
        <v>421</v>
      </c>
      <c r="B422" s="1" t="s">
        <v>14</v>
      </c>
      <c r="C422" s="1" t="s">
        <v>16</v>
      </c>
      <c r="D422" s="1" t="s">
        <v>19</v>
      </c>
      <c r="E422" s="1" t="s">
        <v>37</v>
      </c>
      <c r="F422" s="1" t="s">
        <v>52</v>
      </c>
      <c r="G422" s="2">
        <v>45269</v>
      </c>
      <c r="H422" s="1" t="s">
        <v>69</v>
      </c>
      <c r="I422" s="1">
        <v>15</v>
      </c>
      <c r="J422" s="1">
        <v>36391</v>
      </c>
      <c r="K422" s="1">
        <v>545865</v>
      </c>
    </row>
    <row r="423" spans="1:11" x14ac:dyDescent="0.3">
      <c r="A423" s="1">
        <v>422</v>
      </c>
      <c r="B423" s="1" t="s">
        <v>13</v>
      </c>
      <c r="C423" s="1" t="s">
        <v>18</v>
      </c>
      <c r="D423" s="1" t="s">
        <v>28</v>
      </c>
      <c r="E423" s="1" t="s">
        <v>38</v>
      </c>
      <c r="F423" s="1" t="s">
        <v>57</v>
      </c>
      <c r="G423" s="2">
        <v>44962</v>
      </c>
      <c r="H423" s="1" t="s">
        <v>70</v>
      </c>
      <c r="I423" s="1">
        <v>48</v>
      </c>
      <c r="J423" s="1">
        <v>12413</v>
      </c>
      <c r="K423" s="1">
        <v>595824</v>
      </c>
    </row>
    <row r="424" spans="1:11" x14ac:dyDescent="0.3">
      <c r="A424" s="1">
        <v>423</v>
      </c>
      <c r="B424" s="1" t="s">
        <v>13</v>
      </c>
      <c r="C424" s="1" t="s">
        <v>17</v>
      </c>
      <c r="D424" s="1" t="s">
        <v>21</v>
      </c>
      <c r="E424" s="1" t="s">
        <v>36</v>
      </c>
      <c r="F424" s="1" t="s">
        <v>45</v>
      </c>
      <c r="G424" s="2">
        <v>45119</v>
      </c>
      <c r="H424" s="1" t="s">
        <v>64</v>
      </c>
      <c r="I424" s="1">
        <v>48</v>
      </c>
      <c r="J424" s="1">
        <v>12310</v>
      </c>
      <c r="K424" s="1">
        <v>590880</v>
      </c>
    </row>
    <row r="425" spans="1:11" x14ac:dyDescent="0.3">
      <c r="A425" s="1">
        <v>424</v>
      </c>
      <c r="B425" s="1" t="s">
        <v>12</v>
      </c>
      <c r="C425" s="1" t="s">
        <v>18</v>
      </c>
      <c r="D425" s="1" t="s">
        <v>33</v>
      </c>
      <c r="E425" s="1" t="s">
        <v>39</v>
      </c>
      <c r="F425" s="1" t="s">
        <v>51</v>
      </c>
      <c r="G425" s="2">
        <v>45000</v>
      </c>
      <c r="H425" s="1" t="s">
        <v>65</v>
      </c>
      <c r="I425" s="1">
        <v>19</v>
      </c>
      <c r="J425" s="1">
        <v>27999</v>
      </c>
      <c r="K425" s="1">
        <v>531981</v>
      </c>
    </row>
    <row r="426" spans="1:11" x14ac:dyDescent="0.3">
      <c r="A426" s="1">
        <v>425</v>
      </c>
      <c r="B426" s="1" t="s">
        <v>13</v>
      </c>
      <c r="C426" s="1" t="s">
        <v>17</v>
      </c>
      <c r="D426" s="1" t="s">
        <v>30</v>
      </c>
      <c r="E426" s="1" t="s">
        <v>36</v>
      </c>
      <c r="F426" s="1" t="s">
        <v>52</v>
      </c>
      <c r="G426" s="2">
        <v>44984</v>
      </c>
      <c r="H426" s="1" t="s">
        <v>70</v>
      </c>
      <c r="I426" s="1">
        <v>46</v>
      </c>
      <c r="J426" s="1">
        <v>16475</v>
      </c>
      <c r="K426" s="1">
        <v>757850</v>
      </c>
    </row>
    <row r="427" spans="1:11" x14ac:dyDescent="0.3">
      <c r="A427" s="1">
        <v>426</v>
      </c>
      <c r="B427" s="1" t="s">
        <v>12</v>
      </c>
      <c r="C427" s="1" t="s">
        <v>17</v>
      </c>
      <c r="D427" s="1" t="s">
        <v>23</v>
      </c>
      <c r="E427" s="1" t="s">
        <v>36</v>
      </c>
      <c r="F427" s="1" t="s">
        <v>47</v>
      </c>
      <c r="G427" s="2">
        <v>45159</v>
      </c>
      <c r="H427" s="1" t="s">
        <v>72</v>
      </c>
      <c r="I427" s="1">
        <v>22</v>
      </c>
      <c r="J427" s="1">
        <v>13532</v>
      </c>
      <c r="K427" s="1">
        <v>297704</v>
      </c>
    </row>
    <row r="428" spans="1:11" x14ac:dyDescent="0.3">
      <c r="A428" s="1">
        <v>427</v>
      </c>
      <c r="B428" s="1" t="s">
        <v>12</v>
      </c>
      <c r="C428" s="1" t="s">
        <v>16</v>
      </c>
      <c r="D428" s="1" t="s">
        <v>24</v>
      </c>
      <c r="E428" s="1" t="s">
        <v>39</v>
      </c>
      <c r="F428" s="1" t="s">
        <v>56</v>
      </c>
      <c r="G428" s="2">
        <v>45098</v>
      </c>
      <c r="H428" s="1" t="s">
        <v>71</v>
      </c>
      <c r="I428" s="1">
        <v>32</v>
      </c>
      <c r="J428" s="1">
        <v>26206</v>
      </c>
      <c r="K428" s="1">
        <v>838592</v>
      </c>
    </row>
    <row r="429" spans="1:11" x14ac:dyDescent="0.3">
      <c r="A429" s="1">
        <v>428</v>
      </c>
      <c r="B429" s="1" t="s">
        <v>15</v>
      </c>
      <c r="C429" s="1" t="s">
        <v>17</v>
      </c>
      <c r="D429" s="1" t="s">
        <v>29</v>
      </c>
      <c r="E429" s="1" t="s">
        <v>35</v>
      </c>
      <c r="F429" s="1" t="s">
        <v>58</v>
      </c>
      <c r="G429" s="2">
        <v>45017</v>
      </c>
      <c r="H429" s="1" t="s">
        <v>67</v>
      </c>
      <c r="I429" s="1">
        <v>45</v>
      </c>
      <c r="J429" s="1">
        <v>11084</v>
      </c>
      <c r="K429" s="1">
        <v>498780</v>
      </c>
    </row>
    <row r="430" spans="1:11" x14ac:dyDescent="0.3">
      <c r="A430" s="1">
        <v>429</v>
      </c>
      <c r="B430" s="1" t="s">
        <v>15</v>
      </c>
      <c r="C430" s="1" t="s">
        <v>18</v>
      </c>
      <c r="D430" s="1" t="s">
        <v>34</v>
      </c>
      <c r="E430" s="1" t="s">
        <v>35</v>
      </c>
      <c r="F430" s="1" t="s">
        <v>46</v>
      </c>
      <c r="G430" s="2">
        <v>45156</v>
      </c>
      <c r="H430" s="1" t="s">
        <v>72</v>
      </c>
      <c r="I430" s="1">
        <v>46</v>
      </c>
      <c r="J430" s="1">
        <v>46087</v>
      </c>
      <c r="K430" s="1">
        <v>2120002</v>
      </c>
    </row>
    <row r="431" spans="1:11" x14ac:dyDescent="0.3">
      <c r="A431" s="1">
        <v>430</v>
      </c>
      <c r="B431" s="1" t="s">
        <v>12</v>
      </c>
      <c r="C431" s="1" t="s">
        <v>17</v>
      </c>
      <c r="D431" s="1" t="s">
        <v>23</v>
      </c>
      <c r="E431" s="1" t="s">
        <v>40</v>
      </c>
      <c r="F431" s="1" t="s">
        <v>48</v>
      </c>
      <c r="G431" s="2">
        <v>44975</v>
      </c>
      <c r="H431" s="1" t="s">
        <v>70</v>
      </c>
      <c r="I431" s="1">
        <v>14</v>
      </c>
      <c r="J431" s="1">
        <v>40655</v>
      </c>
      <c r="K431" s="1">
        <v>569170</v>
      </c>
    </row>
    <row r="432" spans="1:11" x14ac:dyDescent="0.3">
      <c r="A432" s="1">
        <v>431</v>
      </c>
      <c r="B432" s="1" t="s">
        <v>14</v>
      </c>
      <c r="C432" s="1" t="s">
        <v>17</v>
      </c>
      <c r="D432" s="1" t="s">
        <v>25</v>
      </c>
      <c r="E432" s="1" t="s">
        <v>37</v>
      </c>
      <c r="F432" s="1" t="s">
        <v>59</v>
      </c>
      <c r="G432" s="2">
        <v>45208</v>
      </c>
      <c r="H432" s="1" t="s">
        <v>63</v>
      </c>
      <c r="I432" s="1">
        <v>26</v>
      </c>
      <c r="J432" s="1">
        <v>23770</v>
      </c>
      <c r="K432" s="1">
        <v>618020</v>
      </c>
    </row>
    <row r="433" spans="1:11" x14ac:dyDescent="0.3">
      <c r="A433" s="1">
        <v>432</v>
      </c>
      <c r="B433" s="1" t="s">
        <v>12</v>
      </c>
      <c r="C433" s="1" t="s">
        <v>16</v>
      </c>
      <c r="D433" s="1" t="s">
        <v>20</v>
      </c>
      <c r="E433" s="1" t="s">
        <v>40</v>
      </c>
      <c r="F433" s="1" t="s">
        <v>48</v>
      </c>
      <c r="G433" s="2">
        <v>45135</v>
      </c>
      <c r="H433" s="1" t="s">
        <v>64</v>
      </c>
      <c r="I433" s="1">
        <v>11</v>
      </c>
      <c r="J433" s="1">
        <v>14954</v>
      </c>
      <c r="K433" s="1">
        <v>164494</v>
      </c>
    </row>
    <row r="434" spans="1:11" x14ac:dyDescent="0.3">
      <c r="A434" s="1">
        <v>433</v>
      </c>
      <c r="B434" s="1" t="s">
        <v>15</v>
      </c>
      <c r="C434" s="1" t="s">
        <v>18</v>
      </c>
      <c r="D434" s="1" t="s">
        <v>33</v>
      </c>
      <c r="E434" s="1" t="s">
        <v>38</v>
      </c>
      <c r="F434" s="1" t="s">
        <v>58</v>
      </c>
      <c r="G434" s="2">
        <v>45216</v>
      </c>
      <c r="H434" s="1" t="s">
        <v>63</v>
      </c>
      <c r="I434" s="1">
        <v>22</v>
      </c>
      <c r="J434" s="1">
        <v>15997</v>
      </c>
      <c r="K434" s="1">
        <v>351934</v>
      </c>
    </row>
    <row r="435" spans="1:11" x14ac:dyDescent="0.3">
      <c r="A435" s="1">
        <v>434</v>
      </c>
      <c r="B435" s="1" t="s">
        <v>13</v>
      </c>
      <c r="C435" s="1" t="s">
        <v>18</v>
      </c>
      <c r="D435" s="1" t="s">
        <v>26</v>
      </c>
      <c r="E435" s="1" t="s">
        <v>37</v>
      </c>
      <c r="F435" s="1" t="s">
        <v>43</v>
      </c>
      <c r="G435" s="2">
        <v>45017</v>
      </c>
      <c r="H435" s="1" t="s">
        <v>67</v>
      </c>
      <c r="I435" s="1">
        <v>8</v>
      </c>
      <c r="J435" s="1">
        <v>26475</v>
      </c>
      <c r="K435" s="1">
        <v>211800</v>
      </c>
    </row>
    <row r="436" spans="1:11" x14ac:dyDescent="0.3">
      <c r="A436" s="1">
        <v>435</v>
      </c>
      <c r="B436" s="1" t="s">
        <v>14</v>
      </c>
      <c r="C436" s="1" t="s">
        <v>18</v>
      </c>
      <c r="D436" s="1" t="s">
        <v>33</v>
      </c>
      <c r="E436" s="1" t="s">
        <v>39</v>
      </c>
      <c r="F436" s="1" t="s">
        <v>48</v>
      </c>
      <c r="G436" s="2">
        <v>45184</v>
      </c>
      <c r="H436" s="1" t="s">
        <v>66</v>
      </c>
      <c r="I436" s="1">
        <v>39</v>
      </c>
      <c r="J436" s="1">
        <v>46774</v>
      </c>
      <c r="K436" s="1">
        <v>1824186</v>
      </c>
    </row>
    <row r="437" spans="1:11" x14ac:dyDescent="0.3">
      <c r="A437" s="1">
        <v>436</v>
      </c>
      <c r="B437" s="1" t="s">
        <v>12</v>
      </c>
      <c r="C437" s="1" t="s">
        <v>17</v>
      </c>
      <c r="D437" s="1" t="s">
        <v>26</v>
      </c>
      <c r="E437" s="1" t="s">
        <v>38</v>
      </c>
      <c r="F437" s="1" t="s">
        <v>44</v>
      </c>
      <c r="G437" s="2">
        <v>45281</v>
      </c>
      <c r="H437" s="1" t="s">
        <v>69</v>
      </c>
      <c r="I437" s="1">
        <v>12</v>
      </c>
      <c r="J437" s="1">
        <v>26221</v>
      </c>
      <c r="K437" s="1">
        <v>314652</v>
      </c>
    </row>
    <row r="438" spans="1:11" x14ac:dyDescent="0.3">
      <c r="A438" s="1">
        <v>437</v>
      </c>
      <c r="B438" s="1" t="s">
        <v>11</v>
      </c>
      <c r="C438" s="1" t="s">
        <v>16</v>
      </c>
      <c r="D438" s="1" t="s">
        <v>24</v>
      </c>
      <c r="E438" s="1" t="s">
        <v>36</v>
      </c>
      <c r="F438" s="1" t="s">
        <v>50</v>
      </c>
      <c r="G438" s="2">
        <v>45272</v>
      </c>
      <c r="H438" s="1" t="s">
        <v>69</v>
      </c>
      <c r="I438" s="1">
        <v>21</v>
      </c>
      <c r="J438" s="1">
        <v>26048</v>
      </c>
      <c r="K438" s="1">
        <v>547008</v>
      </c>
    </row>
    <row r="439" spans="1:11" x14ac:dyDescent="0.3">
      <c r="A439" s="1">
        <v>438</v>
      </c>
      <c r="B439" s="1" t="s">
        <v>11</v>
      </c>
      <c r="C439" s="1" t="s">
        <v>17</v>
      </c>
      <c r="D439" s="1" t="s">
        <v>27</v>
      </c>
      <c r="E439" s="1" t="s">
        <v>37</v>
      </c>
      <c r="F439" s="1" t="s">
        <v>53</v>
      </c>
      <c r="G439" s="2">
        <v>45035</v>
      </c>
      <c r="H439" s="1" t="s">
        <v>67</v>
      </c>
      <c r="I439" s="1">
        <v>35</v>
      </c>
      <c r="J439" s="1">
        <v>24459</v>
      </c>
      <c r="K439" s="1">
        <v>856065</v>
      </c>
    </row>
    <row r="440" spans="1:11" x14ac:dyDescent="0.3">
      <c r="A440" s="1">
        <v>439</v>
      </c>
      <c r="B440" s="1" t="s">
        <v>15</v>
      </c>
      <c r="C440" s="1" t="s">
        <v>16</v>
      </c>
      <c r="D440" s="1" t="s">
        <v>31</v>
      </c>
      <c r="E440" s="1" t="s">
        <v>37</v>
      </c>
      <c r="F440" s="1" t="s">
        <v>44</v>
      </c>
      <c r="G440" s="2">
        <v>45119</v>
      </c>
      <c r="H440" s="1" t="s">
        <v>64</v>
      </c>
      <c r="I440" s="1">
        <v>35</v>
      </c>
      <c r="J440" s="1">
        <v>28701</v>
      </c>
      <c r="K440" s="1">
        <v>1004535</v>
      </c>
    </row>
    <row r="441" spans="1:11" x14ac:dyDescent="0.3">
      <c r="A441" s="1">
        <v>440</v>
      </c>
      <c r="B441" s="1" t="s">
        <v>15</v>
      </c>
      <c r="C441" s="1" t="s">
        <v>16</v>
      </c>
      <c r="D441" s="1" t="s">
        <v>29</v>
      </c>
      <c r="E441" s="1" t="s">
        <v>38</v>
      </c>
      <c r="F441" s="1" t="s">
        <v>51</v>
      </c>
      <c r="G441" s="2">
        <v>45048</v>
      </c>
      <c r="H441" s="1" t="s">
        <v>61</v>
      </c>
      <c r="I441" s="1">
        <v>21</v>
      </c>
      <c r="J441" s="1">
        <v>31482</v>
      </c>
      <c r="K441" s="1">
        <v>661122</v>
      </c>
    </row>
    <row r="442" spans="1:11" x14ac:dyDescent="0.3">
      <c r="A442" s="1">
        <v>441</v>
      </c>
      <c r="B442" s="1" t="s">
        <v>12</v>
      </c>
      <c r="C442" s="1" t="s">
        <v>17</v>
      </c>
      <c r="D442" s="1" t="s">
        <v>29</v>
      </c>
      <c r="E442" s="1" t="s">
        <v>36</v>
      </c>
      <c r="F442" s="1" t="s">
        <v>56</v>
      </c>
      <c r="G442" s="2">
        <v>45000</v>
      </c>
      <c r="H442" s="1" t="s">
        <v>65</v>
      </c>
      <c r="I442" s="1">
        <v>4</v>
      </c>
      <c r="J442" s="1">
        <v>18435</v>
      </c>
      <c r="K442" s="1">
        <v>73740</v>
      </c>
    </row>
    <row r="443" spans="1:11" x14ac:dyDescent="0.3">
      <c r="A443" s="1">
        <v>442</v>
      </c>
      <c r="B443" s="1" t="s">
        <v>11</v>
      </c>
      <c r="C443" s="1" t="s">
        <v>16</v>
      </c>
      <c r="D443" s="1" t="s">
        <v>25</v>
      </c>
      <c r="E443" s="1" t="s">
        <v>37</v>
      </c>
      <c r="F443" s="1" t="s">
        <v>53</v>
      </c>
      <c r="G443" s="2">
        <v>45040</v>
      </c>
      <c r="H443" s="1" t="s">
        <v>67</v>
      </c>
      <c r="I443" s="1">
        <v>6</v>
      </c>
      <c r="J443" s="1">
        <v>37565</v>
      </c>
      <c r="K443" s="1">
        <v>225390</v>
      </c>
    </row>
    <row r="444" spans="1:11" x14ac:dyDescent="0.3">
      <c r="A444" s="1">
        <v>443</v>
      </c>
      <c r="B444" s="1" t="s">
        <v>15</v>
      </c>
      <c r="C444" s="1" t="s">
        <v>16</v>
      </c>
      <c r="D444" s="1" t="s">
        <v>22</v>
      </c>
      <c r="E444" s="1" t="s">
        <v>39</v>
      </c>
      <c r="F444" s="1" t="s">
        <v>44</v>
      </c>
      <c r="G444" s="2">
        <v>45238</v>
      </c>
      <c r="H444" s="1" t="s">
        <v>62</v>
      </c>
      <c r="I444" s="1">
        <v>20</v>
      </c>
      <c r="J444" s="1">
        <v>35740</v>
      </c>
      <c r="K444" s="1">
        <v>714800</v>
      </c>
    </row>
    <row r="445" spans="1:11" x14ac:dyDescent="0.3">
      <c r="A445" s="1">
        <v>444</v>
      </c>
      <c r="B445" s="1" t="s">
        <v>15</v>
      </c>
      <c r="C445" s="1" t="s">
        <v>16</v>
      </c>
      <c r="D445" s="1" t="s">
        <v>31</v>
      </c>
      <c r="E445" s="1" t="s">
        <v>35</v>
      </c>
      <c r="F445" s="1" t="s">
        <v>45</v>
      </c>
      <c r="G445" s="2">
        <v>45141</v>
      </c>
      <c r="H445" s="1" t="s">
        <v>72</v>
      </c>
      <c r="I445" s="1">
        <v>9</v>
      </c>
      <c r="J445" s="1">
        <v>24043</v>
      </c>
      <c r="K445" s="1">
        <v>216387</v>
      </c>
    </row>
    <row r="446" spans="1:11" x14ac:dyDescent="0.3">
      <c r="A446" s="1">
        <v>445</v>
      </c>
      <c r="B446" s="1" t="s">
        <v>14</v>
      </c>
      <c r="C446" s="1" t="s">
        <v>18</v>
      </c>
      <c r="D446" s="1" t="s">
        <v>22</v>
      </c>
      <c r="E446" s="1" t="s">
        <v>39</v>
      </c>
      <c r="F446" s="1" t="s">
        <v>52</v>
      </c>
      <c r="G446" s="2">
        <v>45249</v>
      </c>
      <c r="H446" s="1" t="s">
        <v>62</v>
      </c>
      <c r="I446" s="1">
        <v>20</v>
      </c>
      <c r="J446" s="1">
        <v>24624</v>
      </c>
      <c r="K446" s="1">
        <v>492480</v>
      </c>
    </row>
    <row r="447" spans="1:11" x14ac:dyDescent="0.3">
      <c r="A447" s="1">
        <v>446</v>
      </c>
      <c r="B447" s="1" t="s">
        <v>13</v>
      </c>
      <c r="C447" s="1" t="s">
        <v>16</v>
      </c>
      <c r="D447" s="1" t="s">
        <v>33</v>
      </c>
      <c r="E447" s="1" t="s">
        <v>35</v>
      </c>
      <c r="F447" s="1" t="s">
        <v>58</v>
      </c>
      <c r="G447" s="2">
        <v>44947</v>
      </c>
      <c r="H447" s="1" t="s">
        <v>68</v>
      </c>
      <c r="I447" s="1">
        <v>21</v>
      </c>
      <c r="J447" s="1">
        <v>5247</v>
      </c>
      <c r="K447" s="1">
        <v>110187</v>
      </c>
    </row>
    <row r="448" spans="1:11" x14ac:dyDescent="0.3">
      <c r="A448" s="1">
        <v>447</v>
      </c>
      <c r="B448" s="1" t="s">
        <v>14</v>
      </c>
      <c r="C448" s="1" t="s">
        <v>16</v>
      </c>
      <c r="D448" s="1" t="s">
        <v>31</v>
      </c>
      <c r="E448" s="1" t="s">
        <v>36</v>
      </c>
      <c r="F448" s="1" t="s">
        <v>48</v>
      </c>
      <c r="G448" s="2">
        <v>45041</v>
      </c>
      <c r="H448" s="1" t="s">
        <v>67</v>
      </c>
      <c r="I448" s="1">
        <v>39</v>
      </c>
      <c r="J448" s="1">
        <v>46061</v>
      </c>
      <c r="K448" s="1">
        <v>1796379</v>
      </c>
    </row>
    <row r="449" spans="1:11" x14ac:dyDescent="0.3">
      <c r="A449" s="1">
        <v>448</v>
      </c>
      <c r="B449" s="1" t="s">
        <v>11</v>
      </c>
      <c r="C449" s="1" t="s">
        <v>17</v>
      </c>
      <c r="D449" s="1" t="s">
        <v>26</v>
      </c>
      <c r="E449" s="1" t="s">
        <v>40</v>
      </c>
      <c r="F449" s="1" t="s">
        <v>51</v>
      </c>
      <c r="G449" s="2">
        <v>44939</v>
      </c>
      <c r="H449" s="1" t="s">
        <v>68</v>
      </c>
      <c r="I449" s="1">
        <v>34</v>
      </c>
      <c r="J449" s="1">
        <v>8997</v>
      </c>
      <c r="K449" s="1">
        <v>305898</v>
      </c>
    </row>
    <row r="450" spans="1:11" x14ac:dyDescent="0.3">
      <c r="A450" s="1">
        <v>449</v>
      </c>
      <c r="B450" s="1" t="s">
        <v>13</v>
      </c>
      <c r="C450" s="1" t="s">
        <v>18</v>
      </c>
      <c r="D450" s="1" t="s">
        <v>23</v>
      </c>
      <c r="E450" s="1" t="s">
        <v>38</v>
      </c>
      <c r="F450" s="1" t="s">
        <v>50</v>
      </c>
      <c r="G450" s="2">
        <v>45190</v>
      </c>
      <c r="H450" s="1" t="s">
        <v>66</v>
      </c>
      <c r="I450" s="1">
        <v>34</v>
      </c>
      <c r="J450" s="1">
        <v>15324</v>
      </c>
      <c r="K450" s="1">
        <v>521016</v>
      </c>
    </row>
    <row r="451" spans="1:11" x14ac:dyDescent="0.3">
      <c r="A451" s="1">
        <v>450</v>
      </c>
      <c r="B451" s="1" t="s">
        <v>14</v>
      </c>
      <c r="C451" s="1" t="s">
        <v>17</v>
      </c>
      <c r="D451" s="1" t="s">
        <v>19</v>
      </c>
      <c r="E451" s="1" t="s">
        <v>38</v>
      </c>
      <c r="F451" s="1" t="s">
        <v>53</v>
      </c>
      <c r="G451" s="2">
        <v>45140</v>
      </c>
      <c r="H451" s="1" t="s">
        <v>72</v>
      </c>
      <c r="I451" s="1">
        <v>50</v>
      </c>
      <c r="J451" s="1">
        <v>43909</v>
      </c>
      <c r="K451" s="1">
        <v>2195450</v>
      </c>
    </row>
    <row r="452" spans="1:11" x14ac:dyDescent="0.3">
      <c r="A452" s="1">
        <v>451</v>
      </c>
      <c r="B452" s="1" t="s">
        <v>14</v>
      </c>
      <c r="C452" s="1" t="s">
        <v>16</v>
      </c>
      <c r="D452" s="1" t="s">
        <v>30</v>
      </c>
      <c r="E452" s="1" t="s">
        <v>35</v>
      </c>
      <c r="F452" s="1" t="s">
        <v>56</v>
      </c>
      <c r="G452" s="2">
        <v>45237</v>
      </c>
      <c r="H452" s="1" t="s">
        <v>62</v>
      </c>
      <c r="I452" s="1">
        <v>27</v>
      </c>
      <c r="J452" s="1">
        <v>22466</v>
      </c>
      <c r="K452" s="1">
        <v>606582</v>
      </c>
    </row>
    <row r="453" spans="1:11" x14ac:dyDescent="0.3">
      <c r="A453" s="1">
        <v>452</v>
      </c>
      <c r="B453" s="1" t="s">
        <v>12</v>
      </c>
      <c r="C453" s="1" t="s">
        <v>16</v>
      </c>
      <c r="D453" s="1" t="s">
        <v>32</v>
      </c>
      <c r="E453" s="1" t="s">
        <v>37</v>
      </c>
      <c r="F453" s="1" t="s">
        <v>53</v>
      </c>
      <c r="G453" s="2">
        <v>45183</v>
      </c>
      <c r="H453" s="1" t="s">
        <v>66</v>
      </c>
      <c r="I453" s="1">
        <v>39</v>
      </c>
      <c r="J453" s="1">
        <v>38462</v>
      </c>
      <c r="K453" s="1">
        <v>1500018</v>
      </c>
    </row>
    <row r="454" spans="1:11" x14ac:dyDescent="0.3">
      <c r="A454" s="1">
        <v>453</v>
      </c>
      <c r="B454" s="1" t="s">
        <v>13</v>
      </c>
      <c r="C454" s="1" t="s">
        <v>17</v>
      </c>
      <c r="D454" s="1" t="s">
        <v>21</v>
      </c>
      <c r="E454" s="1" t="s">
        <v>37</v>
      </c>
      <c r="F454" s="1" t="s">
        <v>55</v>
      </c>
      <c r="G454" s="2">
        <v>45025</v>
      </c>
      <c r="H454" s="1" t="s">
        <v>67</v>
      </c>
      <c r="I454" s="1">
        <v>36</v>
      </c>
      <c r="J454" s="1">
        <v>12567</v>
      </c>
      <c r="K454" s="1">
        <v>452412</v>
      </c>
    </row>
    <row r="455" spans="1:11" x14ac:dyDescent="0.3">
      <c r="A455" s="1">
        <v>454</v>
      </c>
      <c r="B455" s="1" t="s">
        <v>13</v>
      </c>
      <c r="C455" s="1" t="s">
        <v>18</v>
      </c>
      <c r="D455" s="1" t="s">
        <v>24</v>
      </c>
      <c r="E455" s="1" t="s">
        <v>38</v>
      </c>
      <c r="F455" s="1" t="s">
        <v>53</v>
      </c>
      <c r="G455" s="2">
        <v>45204</v>
      </c>
      <c r="H455" s="1" t="s">
        <v>63</v>
      </c>
      <c r="I455" s="1">
        <v>22</v>
      </c>
      <c r="J455" s="1">
        <v>1324</v>
      </c>
      <c r="K455" s="1">
        <v>29128</v>
      </c>
    </row>
    <row r="456" spans="1:11" x14ac:dyDescent="0.3">
      <c r="A456" s="1">
        <v>455</v>
      </c>
      <c r="B456" s="1" t="s">
        <v>12</v>
      </c>
      <c r="C456" s="1" t="s">
        <v>16</v>
      </c>
      <c r="D456" s="1" t="s">
        <v>28</v>
      </c>
      <c r="E456" s="1" t="s">
        <v>35</v>
      </c>
      <c r="F456" s="1" t="s">
        <v>52</v>
      </c>
      <c r="G456" s="2">
        <v>45231</v>
      </c>
      <c r="H456" s="1" t="s">
        <v>62</v>
      </c>
      <c r="I456" s="1">
        <v>47</v>
      </c>
      <c r="J456" s="1">
        <v>8855</v>
      </c>
      <c r="K456" s="1">
        <v>416185</v>
      </c>
    </row>
    <row r="457" spans="1:11" x14ac:dyDescent="0.3">
      <c r="A457" s="1">
        <v>456</v>
      </c>
      <c r="B457" s="1" t="s">
        <v>15</v>
      </c>
      <c r="C457" s="1" t="s">
        <v>17</v>
      </c>
      <c r="D457" s="1" t="s">
        <v>20</v>
      </c>
      <c r="E457" s="1" t="s">
        <v>35</v>
      </c>
      <c r="F457" s="1" t="s">
        <v>48</v>
      </c>
      <c r="G457" s="2">
        <v>44963</v>
      </c>
      <c r="H457" s="1" t="s">
        <v>70</v>
      </c>
      <c r="I457" s="1">
        <v>49</v>
      </c>
      <c r="J457" s="1">
        <v>46346</v>
      </c>
      <c r="K457" s="1">
        <v>2270954</v>
      </c>
    </row>
    <row r="458" spans="1:11" x14ac:dyDescent="0.3">
      <c r="A458" s="1">
        <v>457</v>
      </c>
      <c r="B458" s="1" t="s">
        <v>14</v>
      </c>
      <c r="C458" s="1" t="s">
        <v>18</v>
      </c>
      <c r="D458" s="1" t="s">
        <v>34</v>
      </c>
      <c r="E458" s="1" t="s">
        <v>40</v>
      </c>
      <c r="F458" s="1" t="s">
        <v>57</v>
      </c>
      <c r="G458" s="2">
        <v>45040</v>
      </c>
      <c r="H458" s="1" t="s">
        <v>67</v>
      </c>
      <c r="I458" s="1">
        <v>10</v>
      </c>
      <c r="J458" s="1">
        <v>8355</v>
      </c>
      <c r="K458" s="1">
        <v>83550</v>
      </c>
    </row>
    <row r="459" spans="1:11" x14ac:dyDescent="0.3">
      <c r="A459" s="1">
        <v>458</v>
      </c>
      <c r="B459" s="1" t="s">
        <v>13</v>
      </c>
      <c r="C459" s="1" t="s">
        <v>16</v>
      </c>
      <c r="D459" s="1" t="s">
        <v>26</v>
      </c>
      <c r="E459" s="1" t="s">
        <v>38</v>
      </c>
      <c r="F459" s="1" t="s">
        <v>56</v>
      </c>
      <c r="G459" s="2">
        <v>45124</v>
      </c>
      <c r="H459" s="1" t="s">
        <v>64</v>
      </c>
      <c r="I459" s="1">
        <v>27</v>
      </c>
      <c r="J459" s="1">
        <v>34957</v>
      </c>
      <c r="K459" s="1">
        <v>943839</v>
      </c>
    </row>
    <row r="460" spans="1:11" x14ac:dyDescent="0.3">
      <c r="A460" s="1">
        <v>459</v>
      </c>
      <c r="B460" s="1" t="s">
        <v>14</v>
      </c>
      <c r="C460" s="1" t="s">
        <v>18</v>
      </c>
      <c r="D460" s="1" t="s">
        <v>33</v>
      </c>
      <c r="E460" s="1" t="s">
        <v>36</v>
      </c>
      <c r="F460" s="1" t="s">
        <v>43</v>
      </c>
      <c r="G460" s="2">
        <v>45189</v>
      </c>
      <c r="H460" s="1" t="s">
        <v>66</v>
      </c>
      <c r="I460" s="1">
        <v>27</v>
      </c>
      <c r="J460" s="1">
        <v>24001</v>
      </c>
      <c r="K460" s="1">
        <v>648027</v>
      </c>
    </row>
    <row r="461" spans="1:11" x14ac:dyDescent="0.3">
      <c r="A461" s="1">
        <v>460</v>
      </c>
      <c r="B461" s="1" t="s">
        <v>11</v>
      </c>
      <c r="C461" s="1" t="s">
        <v>18</v>
      </c>
      <c r="D461" s="1" t="s">
        <v>22</v>
      </c>
      <c r="E461" s="1" t="s">
        <v>35</v>
      </c>
      <c r="F461" s="1" t="s">
        <v>48</v>
      </c>
      <c r="G461" s="2">
        <v>44943</v>
      </c>
      <c r="H461" s="1" t="s">
        <v>68</v>
      </c>
      <c r="I461" s="1">
        <v>32</v>
      </c>
      <c r="J461" s="1">
        <v>44214</v>
      </c>
      <c r="K461" s="1">
        <v>1414848</v>
      </c>
    </row>
    <row r="462" spans="1:11" x14ac:dyDescent="0.3">
      <c r="A462" s="1">
        <v>461</v>
      </c>
      <c r="B462" s="1" t="s">
        <v>13</v>
      </c>
      <c r="C462" s="1" t="s">
        <v>17</v>
      </c>
      <c r="D462" s="1" t="s">
        <v>24</v>
      </c>
      <c r="E462" s="1" t="s">
        <v>37</v>
      </c>
      <c r="F462" s="1" t="s">
        <v>57</v>
      </c>
      <c r="G462" s="2">
        <v>45171</v>
      </c>
      <c r="H462" s="1" t="s">
        <v>66</v>
      </c>
      <c r="I462" s="1">
        <v>8</v>
      </c>
      <c r="J462" s="1">
        <v>4882</v>
      </c>
      <c r="K462" s="1">
        <v>39056</v>
      </c>
    </row>
    <row r="463" spans="1:11" x14ac:dyDescent="0.3">
      <c r="A463" s="1">
        <v>462</v>
      </c>
      <c r="B463" s="1" t="s">
        <v>12</v>
      </c>
      <c r="C463" s="1" t="s">
        <v>16</v>
      </c>
      <c r="D463" s="1" t="s">
        <v>25</v>
      </c>
      <c r="E463" s="1" t="s">
        <v>38</v>
      </c>
      <c r="F463" s="1" t="s">
        <v>43</v>
      </c>
      <c r="G463" s="2">
        <v>45110</v>
      </c>
      <c r="H463" s="1" t="s">
        <v>64</v>
      </c>
      <c r="I463" s="1">
        <v>2</v>
      </c>
      <c r="J463" s="1">
        <v>46352</v>
      </c>
      <c r="K463" s="1">
        <v>92704</v>
      </c>
    </row>
    <row r="464" spans="1:11" x14ac:dyDescent="0.3">
      <c r="A464" s="1">
        <v>463</v>
      </c>
      <c r="B464" s="1" t="s">
        <v>15</v>
      </c>
      <c r="C464" s="1" t="s">
        <v>17</v>
      </c>
      <c r="D464" s="1" t="s">
        <v>22</v>
      </c>
      <c r="E464" s="1" t="s">
        <v>35</v>
      </c>
      <c r="F464" s="1" t="s">
        <v>48</v>
      </c>
      <c r="G464" s="2">
        <v>45025</v>
      </c>
      <c r="H464" s="1" t="s">
        <v>67</v>
      </c>
      <c r="I464" s="1">
        <v>47</v>
      </c>
      <c r="J464" s="1">
        <v>46757</v>
      </c>
      <c r="K464" s="1">
        <v>2197579</v>
      </c>
    </row>
    <row r="465" spans="1:11" x14ac:dyDescent="0.3">
      <c r="A465" s="1">
        <v>464</v>
      </c>
      <c r="B465" s="1" t="s">
        <v>11</v>
      </c>
      <c r="C465" s="1" t="s">
        <v>17</v>
      </c>
      <c r="D465" s="1" t="s">
        <v>23</v>
      </c>
      <c r="E465" s="1" t="s">
        <v>39</v>
      </c>
      <c r="F465" s="1" t="s">
        <v>41</v>
      </c>
      <c r="G465" s="2">
        <v>45125</v>
      </c>
      <c r="H465" s="1" t="s">
        <v>64</v>
      </c>
      <c r="I465" s="1">
        <v>47</v>
      </c>
      <c r="J465" s="1">
        <v>26329</v>
      </c>
      <c r="K465" s="1">
        <v>1237463</v>
      </c>
    </row>
    <row r="466" spans="1:11" x14ac:dyDescent="0.3">
      <c r="A466" s="1">
        <v>465</v>
      </c>
      <c r="B466" s="1" t="s">
        <v>13</v>
      </c>
      <c r="C466" s="1" t="s">
        <v>17</v>
      </c>
      <c r="D466" s="1" t="s">
        <v>20</v>
      </c>
      <c r="E466" s="1" t="s">
        <v>35</v>
      </c>
      <c r="F466" s="1" t="s">
        <v>44</v>
      </c>
      <c r="G466" s="2">
        <v>44997</v>
      </c>
      <c r="H466" s="1" t="s">
        <v>65</v>
      </c>
      <c r="I466" s="1">
        <v>20</v>
      </c>
      <c r="J466" s="1">
        <v>2401</v>
      </c>
      <c r="K466" s="1">
        <v>48020</v>
      </c>
    </row>
    <row r="467" spans="1:11" x14ac:dyDescent="0.3">
      <c r="A467" s="1">
        <v>466</v>
      </c>
      <c r="B467" s="1" t="s">
        <v>14</v>
      </c>
      <c r="C467" s="1" t="s">
        <v>16</v>
      </c>
      <c r="D467" s="1" t="s">
        <v>30</v>
      </c>
      <c r="E467" s="1" t="s">
        <v>36</v>
      </c>
      <c r="F467" s="1" t="s">
        <v>51</v>
      </c>
      <c r="G467" s="2">
        <v>44941</v>
      </c>
      <c r="H467" s="1" t="s">
        <v>68</v>
      </c>
      <c r="I467" s="1">
        <v>42</v>
      </c>
      <c r="J467" s="1">
        <v>31504</v>
      </c>
      <c r="K467" s="1">
        <v>1323168</v>
      </c>
    </row>
    <row r="468" spans="1:11" x14ac:dyDescent="0.3">
      <c r="A468" s="1">
        <v>467</v>
      </c>
      <c r="B468" s="1" t="s">
        <v>15</v>
      </c>
      <c r="C468" s="1" t="s">
        <v>18</v>
      </c>
      <c r="D468" s="1" t="s">
        <v>28</v>
      </c>
      <c r="E468" s="1" t="s">
        <v>40</v>
      </c>
      <c r="F468" s="1" t="s">
        <v>52</v>
      </c>
      <c r="G468" s="2">
        <v>45128</v>
      </c>
      <c r="H468" s="1" t="s">
        <v>64</v>
      </c>
      <c r="I468" s="1">
        <v>31</v>
      </c>
      <c r="J468" s="1">
        <v>40818</v>
      </c>
      <c r="K468" s="1">
        <v>1265358</v>
      </c>
    </row>
    <row r="469" spans="1:11" x14ac:dyDescent="0.3">
      <c r="A469" s="1">
        <v>468</v>
      </c>
      <c r="B469" s="1" t="s">
        <v>14</v>
      </c>
      <c r="C469" s="1" t="s">
        <v>18</v>
      </c>
      <c r="D469" s="1" t="s">
        <v>31</v>
      </c>
      <c r="E469" s="1" t="s">
        <v>40</v>
      </c>
      <c r="F469" s="1" t="s">
        <v>52</v>
      </c>
      <c r="G469" s="2">
        <v>45278</v>
      </c>
      <c r="H469" s="1" t="s">
        <v>69</v>
      </c>
      <c r="I469" s="1">
        <v>16</v>
      </c>
      <c r="J469" s="1">
        <v>13403</v>
      </c>
      <c r="K469" s="1">
        <v>214448</v>
      </c>
    </row>
    <row r="470" spans="1:11" x14ac:dyDescent="0.3">
      <c r="A470" s="1">
        <v>469</v>
      </c>
      <c r="B470" s="1" t="s">
        <v>14</v>
      </c>
      <c r="C470" s="1" t="s">
        <v>18</v>
      </c>
      <c r="D470" s="1" t="s">
        <v>30</v>
      </c>
      <c r="E470" s="1" t="s">
        <v>38</v>
      </c>
      <c r="F470" s="1" t="s">
        <v>51</v>
      </c>
      <c r="G470" s="2">
        <v>44988</v>
      </c>
      <c r="H470" s="1" t="s">
        <v>65</v>
      </c>
      <c r="I470" s="1">
        <v>38</v>
      </c>
      <c r="J470" s="1">
        <v>33350</v>
      </c>
      <c r="K470" s="1">
        <v>1267300</v>
      </c>
    </row>
    <row r="471" spans="1:11" x14ac:dyDescent="0.3">
      <c r="A471" s="1">
        <v>470</v>
      </c>
      <c r="B471" s="1" t="s">
        <v>12</v>
      </c>
      <c r="C471" s="1" t="s">
        <v>17</v>
      </c>
      <c r="D471" s="1" t="s">
        <v>21</v>
      </c>
      <c r="E471" s="1" t="s">
        <v>39</v>
      </c>
      <c r="F471" s="1" t="s">
        <v>41</v>
      </c>
      <c r="G471" s="2">
        <v>45029</v>
      </c>
      <c r="H471" s="1" t="s">
        <v>67</v>
      </c>
      <c r="I471" s="1">
        <v>5</v>
      </c>
      <c r="J471" s="1">
        <v>42611</v>
      </c>
      <c r="K471" s="1">
        <v>213055</v>
      </c>
    </row>
    <row r="472" spans="1:11" x14ac:dyDescent="0.3">
      <c r="A472" s="1">
        <v>471</v>
      </c>
      <c r="B472" s="1" t="s">
        <v>15</v>
      </c>
      <c r="C472" s="1" t="s">
        <v>18</v>
      </c>
      <c r="D472" s="1" t="s">
        <v>25</v>
      </c>
      <c r="E472" s="1" t="s">
        <v>38</v>
      </c>
      <c r="F472" s="1" t="s">
        <v>57</v>
      </c>
      <c r="G472" s="2">
        <v>44982</v>
      </c>
      <c r="H472" s="1" t="s">
        <v>70</v>
      </c>
      <c r="I472" s="1">
        <v>2</v>
      </c>
      <c r="J472" s="1">
        <v>2390</v>
      </c>
      <c r="K472" s="1">
        <v>4780</v>
      </c>
    </row>
    <row r="473" spans="1:11" x14ac:dyDescent="0.3">
      <c r="A473" s="1">
        <v>472</v>
      </c>
      <c r="B473" s="1" t="s">
        <v>11</v>
      </c>
      <c r="C473" s="1" t="s">
        <v>17</v>
      </c>
      <c r="D473" s="1" t="s">
        <v>20</v>
      </c>
      <c r="E473" s="1" t="s">
        <v>39</v>
      </c>
      <c r="F473" s="1" t="s">
        <v>42</v>
      </c>
      <c r="G473" s="2">
        <v>45270</v>
      </c>
      <c r="H473" s="1" t="s">
        <v>69</v>
      </c>
      <c r="I473" s="1">
        <v>4</v>
      </c>
      <c r="J473" s="1">
        <v>43491</v>
      </c>
      <c r="K473" s="1">
        <v>173964</v>
      </c>
    </row>
    <row r="474" spans="1:11" x14ac:dyDescent="0.3">
      <c r="A474" s="1">
        <v>473</v>
      </c>
      <c r="B474" s="1" t="s">
        <v>13</v>
      </c>
      <c r="C474" s="1" t="s">
        <v>18</v>
      </c>
      <c r="D474" s="1" t="s">
        <v>26</v>
      </c>
      <c r="E474" s="1" t="s">
        <v>37</v>
      </c>
      <c r="F474" s="1" t="s">
        <v>59</v>
      </c>
      <c r="G474" s="2">
        <v>45224</v>
      </c>
      <c r="H474" s="1" t="s">
        <v>63</v>
      </c>
      <c r="I474" s="1">
        <v>20</v>
      </c>
      <c r="J474" s="1">
        <v>20994</v>
      </c>
      <c r="K474" s="1">
        <v>419880</v>
      </c>
    </row>
    <row r="475" spans="1:11" x14ac:dyDescent="0.3">
      <c r="A475" s="1">
        <v>474</v>
      </c>
      <c r="B475" s="1" t="s">
        <v>13</v>
      </c>
      <c r="C475" s="1" t="s">
        <v>16</v>
      </c>
      <c r="D475" s="1" t="s">
        <v>28</v>
      </c>
      <c r="E475" s="1" t="s">
        <v>39</v>
      </c>
      <c r="F475" s="1" t="s">
        <v>53</v>
      </c>
      <c r="G475" s="2">
        <v>45245</v>
      </c>
      <c r="H475" s="1" t="s">
        <v>62</v>
      </c>
      <c r="I475" s="1">
        <v>25</v>
      </c>
      <c r="J475" s="1">
        <v>22919</v>
      </c>
      <c r="K475" s="1">
        <v>572975</v>
      </c>
    </row>
    <row r="476" spans="1:11" x14ac:dyDescent="0.3">
      <c r="A476" s="1">
        <v>475</v>
      </c>
      <c r="B476" s="1" t="s">
        <v>15</v>
      </c>
      <c r="C476" s="1" t="s">
        <v>17</v>
      </c>
      <c r="D476" s="1" t="s">
        <v>21</v>
      </c>
      <c r="E476" s="1" t="s">
        <v>40</v>
      </c>
      <c r="F476" s="1" t="s">
        <v>41</v>
      </c>
      <c r="G476" s="2">
        <v>45211</v>
      </c>
      <c r="H476" s="1" t="s">
        <v>63</v>
      </c>
      <c r="I476" s="1">
        <v>18</v>
      </c>
      <c r="J476" s="1">
        <v>29445</v>
      </c>
      <c r="K476" s="1">
        <v>530010</v>
      </c>
    </row>
    <row r="477" spans="1:11" x14ac:dyDescent="0.3">
      <c r="A477" s="1">
        <v>476</v>
      </c>
      <c r="B477" s="1" t="s">
        <v>14</v>
      </c>
      <c r="C477" s="1" t="s">
        <v>17</v>
      </c>
      <c r="D477" s="1" t="s">
        <v>20</v>
      </c>
      <c r="E477" s="1" t="s">
        <v>36</v>
      </c>
      <c r="F477" s="1" t="s">
        <v>51</v>
      </c>
      <c r="G477" s="2">
        <v>45248</v>
      </c>
      <c r="H477" s="1" t="s">
        <v>62</v>
      </c>
      <c r="I477" s="1">
        <v>3</v>
      </c>
      <c r="J477" s="1">
        <v>3338</v>
      </c>
      <c r="K477" s="1">
        <v>10014</v>
      </c>
    </row>
    <row r="478" spans="1:11" x14ac:dyDescent="0.3">
      <c r="A478" s="1">
        <v>477</v>
      </c>
      <c r="B478" s="1" t="s">
        <v>13</v>
      </c>
      <c r="C478" s="1" t="s">
        <v>18</v>
      </c>
      <c r="D478" s="1" t="s">
        <v>24</v>
      </c>
      <c r="E478" s="1" t="s">
        <v>36</v>
      </c>
      <c r="F478" s="1" t="s">
        <v>60</v>
      </c>
      <c r="G478" s="2">
        <v>44940</v>
      </c>
      <c r="H478" s="1" t="s">
        <v>68</v>
      </c>
      <c r="I478" s="1">
        <v>18</v>
      </c>
      <c r="J478" s="1">
        <v>1958</v>
      </c>
      <c r="K478" s="1">
        <v>35244</v>
      </c>
    </row>
    <row r="479" spans="1:11" x14ac:dyDescent="0.3">
      <c r="A479" s="1">
        <v>478</v>
      </c>
      <c r="B479" s="1" t="s">
        <v>13</v>
      </c>
      <c r="C479" s="1" t="s">
        <v>16</v>
      </c>
      <c r="D479" s="1" t="s">
        <v>20</v>
      </c>
      <c r="E479" s="1" t="s">
        <v>38</v>
      </c>
      <c r="F479" s="1" t="s">
        <v>52</v>
      </c>
      <c r="G479" s="2">
        <v>44929</v>
      </c>
      <c r="H479" s="1" t="s">
        <v>68</v>
      </c>
      <c r="I479" s="1">
        <v>23</v>
      </c>
      <c r="J479" s="1">
        <v>42157</v>
      </c>
      <c r="K479" s="1">
        <v>969611</v>
      </c>
    </row>
    <row r="480" spans="1:11" x14ac:dyDescent="0.3">
      <c r="A480" s="1">
        <v>479</v>
      </c>
      <c r="B480" s="1" t="s">
        <v>14</v>
      </c>
      <c r="C480" s="1" t="s">
        <v>18</v>
      </c>
      <c r="D480" s="1" t="s">
        <v>28</v>
      </c>
      <c r="E480" s="1" t="s">
        <v>39</v>
      </c>
      <c r="F480" s="1" t="s">
        <v>46</v>
      </c>
      <c r="G480" s="2">
        <v>45123</v>
      </c>
      <c r="H480" s="1" t="s">
        <v>64</v>
      </c>
      <c r="I480" s="1">
        <v>2</v>
      </c>
      <c r="J480" s="1">
        <v>32997</v>
      </c>
      <c r="K480" s="1">
        <v>65994</v>
      </c>
    </row>
    <row r="481" spans="1:11" x14ac:dyDescent="0.3">
      <c r="A481" s="1">
        <v>480</v>
      </c>
      <c r="B481" s="1" t="s">
        <v>12</v>
      </c>
      <c r="C481" s="1" t="s">
        <v>18</v>
      </c>
      <c r="D481" s="1" t="s">
        <v>19</v>
      </c>
      <c r="E481" s="1" t="s">
        <v>38</v>
      </c>
      <c r="F481" s="1" t="s">
        <v>56</v>
      </c>
      <c r="G481" s="2">
        <v>45191</v>
      </c>
      <c r="H481" s="1" t="s">
        <v>66</v>
      </c>
      <c r="I481" s="1">
        <v>38</v>
      </c>
      <c r="J481" s="1">
        <v>6817</v>
      </c>
      <c r="K481" s="1">
        <v>259046</v>
      </c>
    </row>
    <row r="482" spans="1:11" x14ac:dyDescent="0.3">
      <c r="A482" s="1">
        <v>481</v>
      </c>
      <c r="B482" s="1" t="s">
        <v>11</v>
      </c>
      <c r="C482" s="1" t="s">
        <v>16</v>
      </c>
      <c r="D482" s="1" t="s">
        <v>19</v>
      </c>
      <c r="E482" s="1" t="s">
        <v>35</v>
      </c>
      <c r="F482" s="1" t="s">
        <v>49</v>
      </c>
      <c r="G482" s="2">
        <v>45135</v>
      </c>
      <c r="H482" s="1" t="s">
        <v>64</v>
      </c>
      <c r="I482" s="1">
        <v>6</v>
      </c>
      <c r="J482" s="1">
        <v>7061</v>
      </c>
      <c r="K482" s="1">
        <v>42366</v>
      </c>
    </row>
    <row r="483" spans="1:11" x14ac:dyDescent="0.3">
      <c r="A483" s="1">
        <v>482</v>
      </c>
      <c r="B483" s="1" t="s">
        <v>14</v>
      </c>
      <c r="C483" s="1" t="s">
        <v>17</v>
      </c>
      <c r="D483" s="1" t="s">
        <v>27</v>
      </c>
      <c r="E483" s="1" t="s">
        <v>39</v>
      </c>
      <c r="F483" s="1" t="s">
        <v>45</v>
      </c>
      <c r="G483" s="2">
        <v>45175</v>
      </c>
      <c r="H483" s="1" t="s">
        <v>66</v>
      </c>
      <c r="I483" s="1">
        <v>23</v>
      </c>
      <c r="J483" s="1">
        <v>29184</v>
      </c>
      <c r="K483" s="1">
        <v>671232</v>
      </c>
    </row>
    <row r="484" spans="1:11" x14ac:dyDescent="0.3">
      <c r="A484" s="1">
        <v>483</v>
      </c>
      <c r="B484" s="1" t="s">
        <v>12</v>
      </c>
      <c r="C484" s="1" t="s">
        <v>18</v>
      </c>
      <c r="D484" s="1" t="s">
        <v>32</v>
      </c>
      <c r="E484" s="1" t="s">
        <v>37</v>
      </c>
      <c r="F484" s="1" t="s">
        <v>55</v>
      </c>
      <c r="G484" s="2">
        <v>44938</v>
      </c>
      <c r="H484" s="1" t="s">
        <v>68</v>
      </c>
      <c r="I484" s="1">
        <v>46</v>
      </c>
      <c r="J484" s="1">
        <v>48056</v>
      </c>
      <c r="K484" s="1">
        <v>2210576</v>
      </c>
    </row>
    <row r="485" spans="1:11" x14ac:dyDescent="0.3">
      <c r="A485" s="1">
        <v>484</v>
      </c>
      <c r="B485" s="1" t="s">
        <v>11</v>
      </c>
      <c r="C485" s="1" t="s">
        <v>17</v>
      </c>
      <c r="D485" s="1" t="s">
        <v>20</v>
      </c>
      <c r="E485" s="1" t="s">
        <v>37</v>
      </c>
      <c r="F485" s="1" t="s">
        <v>56</v>
      </c>
      <c r="G485" s="2">
        <v>45196</v>
      </c>
      <c r="H485" s="1" t="s">
        <v>66</v>
      </c>
      <c r="I485" s="1">
        <v>30</v>
      </c>
      <c r="J485" s="1">
        <v>25721</v>
      </c>
      <c r="K485" s="1">
        <v>771630</v>
      </c>
    </row>
    <row r="486" spans="1:11" x14ac:dyDescent="0.3">
      <c r="A486" s="1">
        <v>485</v>
      </c>
      <c r="B486" s="1" t="s">
        <v>11</v>
      </c>
      <c r="C486" s="1" t="s">
        <v>16</v>
      </c>
      <c r="D486" s="1" t="s">
        <v>19</v>
      </c>
      <c r="E486" s="1" t="s">
        <v>39</v>
      </c>
      <c r="F486" s="1" t="s">
        <v>59</v>
      </c>
      <c r="G486" s="2">
        <v>45096</v>
      </c>
      <c r="H486" s="1" t="s">
        <v>71</v>
      </c>
      <c r="I486" s="1">
        <v>19</v>
      </c>
      <c r="J486" s="1">
        <v>12769</v>
      </c>
      <c r="K486" s="1">
        <v>242611</v>
      </c>
    </row>
    <row r="487" spans="1:11" x14ac:dyDescent="0.3">
      <c r="A487" s="1">
        <v>486</v>
      </c>
      <c r="B487" s="1" t="s">
        <v>11</v>
      </c>
      <c r="C487" s="1" t="s">
        <v>18</v>
      </c>
      <c r="D487" s="1" t="s">
        <v>19</v>
      </c>
      <c r="E487" s="1" t="s">
        <v>35</v>
      </c>
      <c r="F487" s="1" t="s">
        <v>49</v>
      </c>
      <c r="G487" s="2">
        <v>45082</v>
      </c>
      <c r="H487" s="1" t="s">
        <v>71</v>
      </c>
      <c r="I487" s="1">
        <v>16</v>
      </c>
      <c r="J487" s="1">
        <v>5334</v>
      </c>
      <c r="K487" s="1">
        <v>85344</v>
      </c>
    </row>
    <row r="488" spans="1:11" x14ac:dyDescent="0.3">
      <c r="A488" s="1">
        <v>487</v>
      </c>
      <c r="B488" s="1" t="s">
        <v>14</v>
      </c>
      <c r="C488" s="1" t="s">
        <v>16</v>
      </c>
      <c r="D488" s="1" t="s">
        <v>20</v>
      </c>
      <c r="E488" s="1" t="s">
        <v>39</v>
      </c>
      <c r="F488" s="1" t="s">
        <v>47</v>
      </c>
      <c r="G488" s="2">
        <v>45013</v>
      </c>
      <c r="H488" s="1" t="s">
        <v>65</v>
      </c>
      <c r="I488" s="1">
        <v>34</v>
      </c>
      <c r="J488" s="1">
        <v>10518</v>
      </c>
      <c r="K488" s="1">
        <v>357612</v>
      </c>
    </row>
    <row r="489" spans="1:11" x14ac:dyDescent="0.3">
      <c r="A489" s="1">
        <v>488</v>
      </c>
      <c r="B489" s="1" t="s">
        <v>14</v>
      </c>
      <c r="C489" s="1" t="s">
        <v>18</v>
      </c>
      <c r="D489" s="1" t="s">
        <v>26</v>
      </c>
      <c r="E489" s="1" t="s">
        <v>35</v>
      </c>
      <c r="F489" s="1" t="s">
        <v>51</v>
      </c>
      <c r="G489" s="2">
        <v>45140</v>
      </c>
      <c r="H489" s="1" t="s">
        <v>72</v>
      </c>
      <c r="I489" s="1">
        <v>23</v>
      </c>
      <c r="J489" s="1">
        <v>47119</v>
      </c>
      <c r="K489" s="1">
        <v>1083737</v>
      </c>
    </row>
    <row r="490" spans="1:11" x14ac:dyDescent="0.3">
      <c r="A490" s="1">
        <v>489</v>
      </c>
      <c r="B490" s="1" t="s">
        <v>13</v>
      </c>
      <c r="C490" s="1" t="s">
        <v>16</v>
      </c>
      <c r="D490" s="1" t="s">
        <v>34</v>
      </c>
      <c r="E490" s="1" t="s">
        <v>38</v>
      </c>
      <c r="F490" s="1" t="s">
        <v>45</v>
      </c>
      <c r="G490" s="2">
        <v>45042</v>
      </c>
      <c r="H490" s="1" t="s">
        <v>67</v>
      </c>
      <c r="I490" s="1">
        <v>44</v>
      </c>
      <c r="J490" s="1">
        <v>14220</v>
      </c>
      <c r="K490" s="1">
        <v>625680</v>
      </c>
    </row>
    <row r="491" spans="1:11" x14ac:dyDescent="0.3">
      <c r="A491" s="1">
        <v>490</v>
      </c>
      <c r="B491" s="1" t="s">
        <v>12</v>
      </c>
      <c r="C491" s="1" t="s">
        <v>18</v>
      </c>
      <c r="D491" s="1" t="s">
        <v>24</v>
      </c>
      <c r="E491" s="1" t="s">
        <v>35</v>
      </c>
      <c r="F491" s="1" t="s">
        <v>48</v>
      </c>
      <c r="G491" s="2">
        <v>44966</v>
      </c>
      <c r="H491" s="1" t="s">
        <v>70</v>
      </c>
      <c r="I491" s="1">
        <v>2</v>
      </c>
      <c r="J491" s="1">
        <v>12088</v>
      </c>
      <c r="K491" s="1">
        <v>24176</v>
      </c>
    </row>
    <row r="492" spans="1:11" x14ac:dyDescent="0.3">
      <c r="A492" s="1">
        <v>491</v>
      </c>
      <c r="B492" s="1" t="s">
        <v>11</v>
      </c>
      <c r="C492" s="1" t="s">
        <v>16</v>
      </c>
      <c r="D492" s="1" t="s">
        <v>27</v>
      </c>
      <c r="E492" s="1" t="s">
        <v>37</v>
      </c>
      <c r="F492" s="1" t="s">
        <v>42</v>
      </c>
      <c r="G492" s="2">
        <v>45257</v>
      </c>
      <c r="H492" s="1" t="s">
        <v>62</v>
      </c>
      <c r="I492" s="1">
        <v>10</v>
      </c>
      <c r="J492" s="1">
        <v>31409</v>
      </c>
      <c r="K492" s="1">
        <v>314090</v>
      </c>
    </row>
    <row r="493" spans="1:11" x14ac:dyDescent="0.3">
      <c r="A493" s="1">
        <v>492</v>
      </c>
      <c r="B493" s="1" t="s">
        <v>11</v>
      </c>
      <c r="C493" s="1" t="s">
        <v>16</v>
      </c>
      <c r="D493" s="1" t="s">
        <v>34</v>
      </c>
      <c r="E493" s="1" t="s">
        <v>37</v>
      </c>
      <c r="F493" s="1" t="s">
        <v>59</v>
      </c>
      <c r="G493" s="2">
        <v>45270</v>
      </c>
      <c r="H493" s="1" t="s">
        <v>69</v>
      </c>
      <c r="I493" s="1">
        <v>33</v>
      </c>
      <c r="J493" s="1">
        <v>45103</v>
      </c>
      <c r="K493" s="1">
        <v>1488399</v>
      </c>
    </row>
    <row r="494" spans="1:11" x14ac:dyDescent="0.3">
      <c r="A494" s="1">
        <v>493</v>
      </c>
      <c r="B494" s="1" t="s">
        <v>14</v>
      </c>
      <c r="C494" s="1" t="s">
        <v>16</v>
      </c>
      <c r="D494" s="1" t="s">
        <v>22</v>
      </c>
      <c r="E494" s="1" t="s">
        <v>38</v>
      </c>
      <c r="F494" s="1" t="s">
        <v>47</v>
      </c>
      <c r="G494" s="2">
        <v>45146</v>
      </c>
      <c r="H494" s="1" t="s">
        <v>72</v>
      </c>
      <c r="I494" s="1">
        <v>34</v>
      </c>
      <c r="J494" s="1">
        <v>34718</v>
      </c>
      <c r="K494" s="1">
        <v>1180412</v>
      </c>
    </row>
    <row r="495" spans="1:11" x14ac:dyDescent="0.3">
      <c r="A495" s="1">
        <v>494</v>
      </c>
      <c r="B495" s="1" t="s">
        <v>13</v>
      </c>
      <c r="C495" s="1" t="s">
        <v>17</v>
      </c>
      <c r="D495" s="1" t="s">
        <v>27</v>
      </c>
      <c r="E495" s="1" t="s">
        <v>35</v>
      </c>
      <c r="F495" s="1" t="s">
        <v>52</v>
      </c>
      <c r="G495" s="2">
        <v>45148</v>
      </c>
      <c r="H495" s="1" t="s">
        <v>72</v>
      </c>
      <c r="I495" s="1">
        <v>38</v>
      </c>
      <c r="J495" s="1">
        <v>22545</v>
      </c>
      <c r="K495" s="1">
        <v>856710</v>
      </c>
    </row>
    <row r="496" spans="1:11" x14ac:dyDescent="0.3">
      <c r="A496" s="1">
        <v>495</v>
      </c>
      <c r="B496" s="1" t="s">
        <v>11</v>
      </c>
      <c r="C496" s="1" t="s">
        <v>17</v>
      </c>
      <c r="D496" s="1" t="s">
        <v>23</v>
      </c>
      <c r="E496" s="1" t="s">
        <v>37</v>
      </c>
      <c r="F496" s="1" t="s">
        <v>46</v>
      </c>
      <c r="G496" s="2">
        <v>45097</v>
      </c>
      <c r="H496" s="1" t="s">
        <v>71</v>
      </c>
      <c r="I496" s="1">
        <v>46</v>
      </c>
      <c r="J496" s="1">
        <v>4097</v>
      </c>
      <c r="K496" s="1">
        <v>188462</v>
      </c>
    </row>
    <row r="497" spans="1:11" x14ac:dyDescent="0.3">
      <c r="A497" s="1">
        <v>496</v>
      </c>
      <c r="B497" s="1" t="s">
        <v>11</v>
      </c>
      <c r="C497" s="1" t="s">
        <v>17</v>
      </c>
      <c r="D497" s="1" t="s">
        <v>27</v>
      </c>
      <c r="E497" s="1" t="s">
        <v>38</v>
      </c>
      <c r="F497" s="1" t="s">
        <v>56</v>
      </c>
      <c r="G497" s="2">
        <v>45066</v>
      </c>
      <c r="H497" s="1" t="s">
        <v>61</v>
      </c>
      <c r="I497" s="1">
        <v>16</v>
      </c>
      <c r="J497" s="1">
        <v>27678</v>
      </c>
      <c r="K497" s="1">
        <v>442848</v>
      </c>
    </row>
    <row r="498" spans="1:11" x14ac:dyDescent="0.3">
      <c r="A498" s="1">
        <v>497</v>
      </c>
      <c r="B498" s="1" t="s">
        <v>14</v>
      </c>
      <c r="C498" s="1" t="s">
        <v>17</v>
      </c>
      <c r="D498" s="1" t="s">
        <v>19</v>
      </c>
      <c r="E498" s="1" t="s">
        <v>36</v>
      </c>
      <c r="F498" s="1" t="s">
        <v>53</v>
      </c>
      <c r="G498" s="2">
        <v>45271</v>
      </c>
      <c r="H498" s="1" t="s">
        <v>69</v>
      </c>
      <c r="I498" s="1">
        <v>26</v>
      </c>
      <c r="J498" s="1">
        <v>26633</v>
      </c>
      <c r="K498" s="1">
        <v>692458</v>
      </c>
    </row>
    <row r="499" spans="1:11" x14ac:dyDescent="0.3">
      <c r="A499" s="1">
        <v>498</v>
      </c>
      <c r="B499" s="1" t="s">
        <v>11</v>
      </c>
      <c r="C499" s="1" t="s">
        <v>17</v>
      </c>
      <c r="D499" s="1" t="s">
        <v>25</v>
      </c>
      <c r="E499" s="1" t="s">
        <v>40</v>
      </c>
      <c r="F499" s="1" t="s">
        <v>47</v>
      </c>
      <c r="G499" s="2">
        <v>45202</v>
      </c>
      <c r="H499" s="1" t="s">
        <v>63</v>
      </c>
      <c r="I499" s="1">
        <v>49</v>
      </c>
      <c r="J499" s="1">
        <v>37949</v>
      </c>
      <c r="K499" s="1">
        <v>1859501</v>
      </c>
    </row>
    <row r="500" spans="1:11" x14ac:dyDescent="0.3">
      <c r="A500" s="1">
        <v>499</v>
      </c>
      <c r="B500" s="1" t="s">
        <v>12</v>
      </c>
      <c r="C500" s="1" t="s">
        <v>18</v>
      </c>
      <c r="D500" s="1" t="s">
        <v>26</v>
      </c>
      <c r="E500" s="1" t="s">
        <v>39</v>
      </c>
      <c r="F500" s="1" t="s">
        <v>48</v>
      </c>
      <c r="G500" s="2">
        <v>45023</v>
      </c>
      <c r="H500" s="1" t="s">
        <v>67</v>
      </c>
      <c r="I500" s="1">
        <v>19</v>
      </c>
      <c r="J500" s="1">
        <v>32980</v>
      </c>
      <c r="K500" s="1">
        <v>626620</v>
      </c>
    </row>
    <row r="501" spans="1:11" x14ac:dyDescent="0.3">
      <c r="A501" s="1">
        <v>500</v>
      </c>
      <c r="B501" s="1" t="s">
        <v>11</v>
      </c>
      <c r="C501" s="1" t="s">
        <v>18</v>
      </c>
      <c r="D501" s="1" t="s">
        <v>20</v>
      </c>
      <c r="E501" s="1" t="s">
        <v>35</v>
      </c>
      <c r="F501" s="1" t="s">
        <v>57</v>
      </c>
      <c r="G501" s="2">
        <v>45057</v>
      </c>
      <c r="H501" s="1" t="s">
        <v>61</v>
      </c>
      <c r="I501" s="1">
        <v>36</v>
      </c>
      <c r="J501" s="1">
        <v>49889</v>
      </c>
      <c r="K501" s="1">
        <v>1796004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AAFDC-B6FC-4EED-9FD0-20791541F595}">
  <sheetPr codeName="Sheet2">
    <tabColor rgb="FFFFFF00"/>
  </sheetPr>
  <dimension ref="A1:M38"/>
  <sheetViews>
    <sheetView zoomScale="75" zoomScaleNormal="70" workbookViewId="0">
      <selection activeCell="A10" sqref="A10"/>
    </sheetView>
  </sheetViews>
  <sheetFormatPr defaultRowHeight="14.4" x14ac:dyDescent="0.3"/>
  <cols>
    <col min="1" max="1" width="18.77734375" bestFit="1" customWidth="1"/>
    <col min="2" max="2" width="17.5546875" bestFit="1" customWidth="1"/>
    <col min="3" max="3" width="13.77734375" bestFit="1" customWidth="1"/>
    <col min="4" max="4" width="16.5546875" bestFit="1" customWidth="1"/>
    <col min="6" max="6" width="13.77734375" bestFit="1" customWidth="1"/>
    <col min="7" max="7" width="16.5546875" bestFit="1" customWidth="1"/>
    <col min="9" max="9" width="13.77734375" bestFit="1" customWidth="1"/>
    <col min="10" max="10" width="16.5546875" bestFit="1" customWidth="1"/>
    <col min="11" max="11" width="16.33203125" bestFit="1" customWidth="1"/>
    <col min="12" max="12" width="13.77734375" bestFit="1" customWidth="1"/>
    <col min="13" max="13" width="16.5546875" bestFit="1" customWidth="1"/>
  </cols>
  <sheetData>
    <row r="1" spans="1:13" x14ac:dyDescent="0.3">
      <c r="A1">
        <f>GETPIVOTDATA("TotalSales",$A$2)</f>
        <v>8560156</v>
      </c>
      <c r="C1">
        <f>GETPIVOTDATA("UnitsSold",$C$2)</f>
        <v>308</v>
      </c>
    </row>
    <row r="2" spans="1:13" x14ac:dyDescent="0.3">
      <c r="A2" t="s">
        <v>75</v>
      </c>
      <c r="C2" t="s">
        <v>76</v>
      </c>
      <c r="F2" s="4" t="s">
        <v>73</v>
      </c>
      <c r="G2" t="s">
        <v>75</v>
      </c>
      <c r="I2" s="4" t="s">
        <v>73</v>
      </c>
      <c r="J2" t="s">
        <v>75</v>
      </c>
      <c r="L2" s="4" t="s">
        <v>73</v>
      </c>
      <c r="M2" t="s">
        <v>75</v>
      </c>
    </row>
    <row r="3" spans="1:13" x14ac:dyDescent="0.3">
      <c r="A3" s="11">
        <v>8560156</v>
      </c>
      <c r="C3" s="11">
        <v>308</v>
      </c>
      <c r="F3" s="5" t="s">
        <v>40</v>
      </c>
      <c r="G3" s="11">
        <v>8560156</v>
      </c>
      <c r="I3" s="5" t="s">
        <v>20</v>
      </c>
      <c r="J3" s="11">
        <v>2213748</v>
      </c>
      <c r="L3" s="5" t="s">
        <v>68</v>
      </c>
      <c r="M3" s="11">
        <v>1299420</v>
      </c>
    </row>
    <row r="4" spans="1:13" x14ac:dyDescent="0.3">
      <c r="F4" s="5" t="s">
        <v>74</v>
      </c>
      <c r="G4" s="11">
        <v>8560156</v>
      </c>
      <c r="I4" s="5" t="s">
        <v>34</v>
      </c>
      <c r="J4" s="11">
        <v>83550</v>
      </c>
      <c r="L4" s="5" t="s">
        <v>65</v>
      </c>
      <c r="M4" s="11">
        <v>224730</v>
      </c>
    </row>
    <row r="5" spans="1:13" x14ac:dyDescent="0.3">
      <c r="I5" s="5" t="s">
        <v>31</v>
      </c>
      <c r="J5" s="11">
        <v>946976</v>
      </c>
      <c r="L5" s="5" t="s">
        <v>67</v>
      </c>
      <c r="M5" s="11">
        <v>1719690</v>
      </c>
    </row>
    <row r="6" spans="1:13" x14ac:dyDescent="0.3">
      <c r="I6" s="5" t="s">
        <v>19</v>
      </c>
      <c r="J6" s="11">
        <v>1636140</v>
      </c>
      <c r="L6" s="5" t="s">
        <v>61</v>
      </c>
      <c r="M6" s="11">
        <v>611936</v>
      </c>
    </row>
    <row r="7" spans="1:13" x14ac:dyDescent="0.3">
      <c r="I7" s="5" t="s">
        <v>30</v>
      </c>
      <c r="J7" s="11">
        <v>1511522</v>
      </c>
      <c r="L7" s="5" t="s">
        <v>71</v>
      </c>
      <c r="M7" s="11">
        <v>89172</v>
      </c>
    </row>
    <row r="8" spans="1:13" x14ac:dyDescent="0.3">
      <c r="I8" s="5" t="s">
        <v>22</v>
      </c>
      <c r="J8" s="11">
        <v>60416</v>
      </c>
      <c r="L8" s="5" t="s">
        <v>72</v>
      </c>
      <c r="M8" s="11">
        <v>928976</v>
      </c>
    </row>
    <row r="9" spans="1:13" x14ac:dyDescent="0.3">
      <c r="I9" s="5" t="s">
        <v>21</v>
      </c>
      <c r="J9" s="11">
        <v>808384</v>
      </c>
      <c r="L9" s="5" t="s">
        <v>66</v>
      </c>
      <c r="M9" s="11">
        <v>60416</v>
      </c>
    </row>
    <row r="10" spans="1:13" x14ac:dyDescent="0.3">
      <c r="A10" t="s">
        <v>77</v>
      </c>
      <c r="I10" s="5" t="s">
        <v>33</v>
      </c>
      <c r="J10" s="11">
        <v>1299420</v>
      </c>
      <c r="L10" s="5" t="s">
        <v>63</v>
      </c>
      <c r="M10" s="11">
        <v>2299752</v>
      </c>
    </row>
    <row r="11" spans="1:13" x14ac:dyDescent="0.3">
      <c r="A11" s="11">
        <v>13</v>
      </c>
      <c r="F11" s="6" t="s">
        <v>73</v>
      </c>
      <c r="G11" s="6" t="s">
        <v>75</v>
      </c>
      <c r="I11" s="5" t="s">
        <v>74</v>
      </c>
      <c r="J11" s="11">
        <v>8560156</v>
      </c>
      <c r="L11" s="5" t="s">
        <v>69</v>
      </c>
      <c r="M11" s="11">
        <v>1326064</v>
      </c>
    </row>
    <row r="12" spans="1:13" x14ac:dyDescent="0.3">
      <c r="F12" s="5" t="s">
        <v>36</v>
      </c>
      <c r="G12" t="e">
        <f>GETPIVOTDATA("TotalSales",$F$2,"Salesperson",F12)</f>
        <v>#REF!</v>
      </c>
      <c r="L12" s="5" t="s">
        <v>74</v>
      </c>
      <c r="M12" s="11">
        <v>8560156</v>
      </c>
    </row>
    <row r="13" spans="1:13" x14ac:dyDescent="0.3">
      <c r="C13" s="4" t="s">
        <v>73</v>
      </c>
      <c r="D13" t="s">
        <v>75</v>
      </c>
      <c r="F13" s="5" t="s">
        <v>40</v>
      </c>
      <c r="G13">
        <f t="shared" ref="G13:G17" si="0">GETPIVOTDATA("TotalSales",$F$2,"Salesperson",F13)</f>
        <v>8560156</v>
      </c>
    </row>
    <row r="14" spans="1:13" x14ac:dyDescent="0.3">
      <c r="C14" s="5" t="s">
        <v>14</v>
      </c>
      <c r="D14" s="11">
        <v>8560156</v>
      </c>
      <c r="F14" s="5" t="s">
        <v>39</v>
      </c>
      <c r="G14" t="e">
        <f t="shared" si="0"/>
        <v>#REF!</v>
      </c>
    </row>
    <row r="15" spans="1:13" x14ac:dyDescent="0.3">
      <c r="C15" s="5" t="s">
        <v>74</v>
      </c>
      <c r="D15" s="11">
        <v>8560156</v>
      </c>
      <c r="F15" s="5" t="s">
        <v>37</v>
      </c>
      <c r="G15" t="e">
        <f t="shared" si="0"/>
        <v>#REF!</v>
      </c>
    </row>
    <row r="16" spans="1:13" x14ac:dyDescent="0.3">
      <c r="F16" s="5" t="s">
        <v>38</v>
      </c>
      <c r="G16" t="e">
        <f t="shared" si="0"/>
        <v>#REF!</v>
      </c>
    </row>
    <row r="17" spans="1:13" x14ac:dyDescent="0.3">
      <c r="F17" s="5" t="s">
        <v>35</v>
      </c>
      <c r="G17" t="e">
        <f t="shared" si="0"/>
        <v>#REF!</v>
      </c>
    </row>
    <row r="18" spans="1:13" x14ac:dyDescent="0.3">
      <c r="F18" s="7" t="s">
        <v>74</v>
      </c>
      <c r="G18" s="8">
        <v>338374126</v>
      </c>
    </row>
    <row r="19" spans="1:13" x14ac:dyDescent="0.3">
      <c r="L19" s="6" t="s">
        <v>73</v>
      </c>
      <c r="M19" s="6" t="s">
        <v>75</v>
      </c>
    </row>
    <row r="20" spans="1:13" x14ac:dyDescent="0.3">
      <c r="L20" s="5" t="s">
        <v>27</v>
      </c>
      <c r="M20" t="e">
        <f>GETPIVOTDATA("TotalSales",$I$2,"Region",L20)</f>
        <v>#REF!</v>
      </c>
    </row>
    <row r="21" spans="1:13" x14ac:dyDescent="0.3">
      <c r="A21" t="s">
        <v>78</v>
      </c>
      <c r="L21" s="5" t="s">
        <v>23</v>
      </c>
      <c r="M21" t="e">
        <f t="shared" ref="M21:M35" si="1">GETPIVOTDATA("TotalSales",$I$2,"Region",L21)</f>
        <v>#REF!</v>
      </c>
    </row>
    <row r="22" spans="1:13" x14ac:dyDescent="0.3">
      <c r="A22">
        <v>20</v>
      </c>
      <c r="L22" s="5" t="s">
        <v>20</v>
      </c>
      <c r="M22">
        <f t="shared" si="1"/>
        <v>2213748</v>
      </c>
    </row>
    <row r="23" spans="1:13" x14ac:dyDescent="0.3">
      <c r="L23" s="5" t="s">
        <v>34</v>
      </c>
      <c r="M23">
        <f t="shared" si="1"/>
        <v>83550</v>
      </c>
    </row>
    <row r="24" spans="1:13" x14ac:dyDescent="0.3">
      <c r="L24" s="5" t="s">
        <v>32</v>
      </c>
      <c r="M24" t="e">
        <f t="shared" si="1"/>
        <v>#REF!</v>
      </c>
    </row>
    <row r="25" spans="1:13" x14ac:dyDescent="0.3">
      <c r="L25" s="5" t="s">
        <v>31</v>
      </c>
      <c r="M25">
        <f t="shared" si="1"/>
        <v>946976</v>
      </c>
    </row>
    <row r="26" spans="1:13" x14ac:dyDescent="0.3">
      <c r="L26" s="5" t="s">
        <v>26</v>
      </c>
      <c r="M26" t="e">
        <f t="shared" si="1"/>
        <v>#REF!</v>
      </c>
    </row>
    <row r="27" spans="1:13" x14ac:dyDescent="0.3">
      <c r="L27" s="5" t="s">
        <v>24</v>
      </c>
      <c r="M27" t="e">
        <f t="shared" si="1"/>
        <v>#REF!</v>
      </c>
    </row>
    <row r="28" spans="1:13" x14ac:dyDescent="0.3">
      <c r="L28" s="5" t="s">
        <v>28</v>
      </c>
      <c r="M28" t="e">
        <f t="shared" si="1"/>
        <v>#REF!</v>
      </c>
    </row>
    <row r="29" spans="1:13" x14ac:dyDescent="0.3">
      <c r="L29" s="5" t="s">
        <v>19</v>
      </c>
      <c r="M29">
        <f t="shared" si="1"/>
        <v>1636140</v>
      </c>
    </row>
    <row r="30" spans="1:13" x14ac:dyDescent="0.3">
      <c r="L30" s="5" t="s">
        <v>30</v>
      </c>
      <c r="M30">
        <f t="shared" si="1"/>
        <v>1511522</v>
      </c>
    </row>
    <row r="31" spans="1:13" x14ac:dyDescent="0.3">
      <c r="L31" s="5" t="s">
        <v>22</v>
      </c>
      <c r="M31">
        <f t="shared" si="1"/>
        <v>60416</v>
      </c>
    </row>
    <row r="32" spans="1:13" x14ac:dyDescent="0.3">
      <c r="L32" s="5" t="s">
        <v>29</v>
      </c>
      <c r="M32" t="e">
        <f t="shared" si="1"/>
        <v>#REF!</v>
      </c>
    </row>
    <row r="33" spans="9:13" x14ac:dyDescent="0.3">
      <c r="L33" s="5" t="s">
        <v>21</v>
      </c>
      <c r="M33">
        <f t="shared" si="1"/>
        <v>808384</v>
      </c>
    </row>
    <row r="34" spans="9:13" x14ac:dyDescent="0.3">
      <c r="L34" s="5" t="s">
        <v>25</v>
      </c>
      <c r="M34" t="e">
        <f t="shared" si="1"/>
        <v>#REF!</v>
      </c>
    </row>
    <row r="35" spans="9:13" x14ac:dyDescent="0.3">
      <c r="L35" s="5" t="s">
        <v>33</v>
      </c>
      <c r="M35">
        <f t="shared" si="1"/>
        <v>1299420</v>
      </c>
    </row>
    <row r="38" spans="9:13" x14ac:dyDescent="0.3">
      <c r="I38"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095B4-B977-474F-9787-90298198C014}">
  <sheetPr codeName="Sheet3">
    <tabColor rgb="FF00B0F0"/>
  </sheetPr>
  <dimension ref="A1:P21"/>
  <sheetViews>
    <sheetView tabSelected="1" zoomScale="119" zoomScaleNormal="145" workbookViewId="0">
      <selection activeCell="Q7" sqref="Q7"/>
    </sheetView>
  </sheetViews>
  <sheetFormatPr defaultRowHeight="14.4" x14ac:dyDescent="0.3"/>
  <cols>
    <col min="1" max="1" width="9.21875" customWidth="1"/>
    <col min="2" max="2" width="11" customWidth="1"/>
    <col min="5" max="5" width="10.21875" customWidth="1"/>
    <col min="6" max="6" width="2" customWidth="1"/>
    <col min="7" max="7" width="10.5546875" bestFit="1" customWidth="1"/>
    <col min="13" max="13" width="8.77734375" customWidth="1"/>
    <col min="14" max="14" width="1.21875" customWidth="1"/>
  </cols>
  <sheetData>
    <row r="1" spans="1:16" x14ac:dyDescent="0.3">
      <c r="A1" s="10"/>
      <c r="B1" s="10"/>
      <c r="C1" s="10"/>
      <c r="D1" s="10"/>
      <c r="E1" s="10"/>
      <c r="F1" s="10"/>
      <c r="G1" s="10"/>
      <c r="H1" s="10"/>
      <c r="I1" s="10"/>
      <c r="J1" s="10"/>
      <c r="K1" s="10"/>
      <c r="L1" s="10"/>
      <c r="M1" s="10"/>
      <c r="N1" s="10"/>
    </row>
    <row r="2" spans="1:16" ht="12" customHeight="1" x14ac:dyDescent="0.3">
      <c r="A2" s="10"/>
      <c r="B2" s="10"/>
      <c r="C2" s="10"/>
      <c r="D2" s="10"/>
      <c r="E2" s="10"/>
      <c r="F2" s="10"/>
      <c r="G2" s="10"/>
      <c r="H2" s="10"/>
      <c r="I2" s="10"/>
      <c r="J2" s="10"/>
      <c r="K2" s="10"/>
      <c r="L2" s="10"/>
      <c r="M2" s="10"/>
      <c r="N2" s="10"/>
    </row>
    <row r="3" spans="1:16" ht="21" customHeight="1" x14ac:dyDescent="0.3">
      <c r="A3" s="10"/>
      <c r="B3" s="10"/>
      <c r="C3" s="10"/>
      <c r="D3" s="10"/>
      <c r="E3" s="10"/>
      <c r="F3" s="10"/>
      <c r="G3" s="10"/>
      <c r="H3" s="10"/>
      <c r="I3" s="10"/>
      <c r="J3" s="10"/>
      <c r="K3" s="10"/>
      <c r="L3" s="10"/>
      <c r="M3" s="10"/>
      <c r="N3" s="10"/>
    </row>
    <row r="4" spans="1:16" ht="20.399999999999999" customHeight="1" x14ac:dyDescent="0.3">
      <c r="A4" s="10"/>
      <c r="B4" s="10"/>
      <c r="C4" s="10"/>
      <c r="D4" s="10"/>
      <c r="E4" s="10"/>
      <c r="F4" s="10"/>
      <c r="G4" s="10"/>
      <c r="H4" s="10"/>
      <c r="I4" s="10"/>
      <c r="J4" s="10"/>
      <c r="K4" s="10"/>
      <c r="L4" s="10"/>
      <c r="M4" s="10"/>
      <c r="N4" s="10"/>
    </row>
    <row r="5" spans="1:16" x14ac:dyDescent="0.3">
      <c r="A5" s="10"/>
      <c r="B5" s="10"/>
      <c r="C5" s="10"/>
      <c r="D5" s="10"/>
      <c r="E5" s="10"/>
      <c r="F5" s="10"/>
      <c r="G5" s="10"/>
      <c r="H5" s="10"/>
      <c r="I5" s="10"/>
      <c r="J5" s="10"/>
      <c r="K5" s="10"/>
      <c r="L5" s="10"/>
      <c r="M5" s="10"/>
      <c r="N5" s="10"/>
    </row>
    <row r="6" spans="1:16" x14ac:dyDescent="0.3">
      <c r="A6" s="10"/>
      <c r="B6" s="10"/>
      <c r="C6" s="10"/>
      <c r="D6" s="10"/>
      <c r="E6" s="10"/>
      <c r="F6" s="10"/>
      <c r="G6" s="10"/>
      <c r="H6" s="10"/>
      <c r="I6" s="10"/>
      <c r="J6" s="10"/>
      <c r="K6" s="10"/>
      <c r="L6" s="10"/>
      <c r="M6" s="10"/>
      <c r="N6" s="10"/>
    </row>
    <row r="7" spans="1:16" x14ac:dyDescent="0.3">
      <c r="A7" s="10"/>
      <c r="B7" s="10"/>
      <c r="C7" s="10"/>
      <c r="D7" s="10"/>
      <c r="E7" s="10"/>
      <c r="F7" s="10"/>
      <c r="G7" s="10"/>
      <c r="H7" s="10"/>
      <c r="I7" s="10"/>
      <c r="J7" s="10"/>
      <c r="K7" s="10"/>
      <c r="L7" s="10"/>
      <c r="M7" s="10"/>
      <c r="N7" s="10"/>
    </row>
    <row r="8" spans="1:16" x14ac:dyDescent="0.3">
      <c r="A8" s="10"/>
      <c r="B8" s="10"/>
      <c r="C8" s="10"/>
      <c r="D8" s="10"/>
      <c r="E8" s="10"/>
      <c r="F8" s="10"/>
      <c r="G8" s="10"/>
      <c r="H8" s="10"/>
      <c r="I8" s="10"/>
      <c r="J8" s="10"/>
      <c r="K8" s="10"/>
      <c r="L8" s="10"/>
      <c r="M8" s="10"/>
      <c r="N8" s="10"/>
    </row>
    <row r="9" spans="1:16" x14ac:dyDescent="0.3">
      <c r="A9" s="10"/>
      <c r="B9" s="10"/>
      <c r="C9" s="10"/>
      <c r="D9" s="10"/>
      <c r="E9" s="10"/>
      <c r="F9" s="10"/>
      <c r="G9" s="10"/>
      <c r="H9" s="10"/>
      <c r="I9" s="10"/>
      <c r="J9" s="10"/>
      <c r="K9" s="10"/>
      <c r="L9" s="10"/>
      <c r="M9" s="10"/>
      <c r="N9" s="10"/>
    </row>
    <row r="10" spans="1:16" x14ac:dyDescent="0.3">
      <c r="A10" s="10"/>
      <c r="B10" s="10"/>
      <c r="C10" s="10"/>
      <c r="D10" s="10"/>
      <c r="E10" s="10"/>
      <c r="F10" s="10"/>
      <c r="G10" s="10"/>
      <c r="H10" s="10"/>
      <c r="I10" s="10"/>
      <c r="J10" s="10"/>
      <c r="K10" s="10"/>
      <c r="L10" s="10"/>
      <c r="M10" s="10"/>
      <c r="N10" s="10"/>
    </row>
    <row r="11" spans="1:16" x14ac:dyDescent="0.3">
      <c r="A11" s="10"/>
      <c r="B11" s="10"/>
      <c r="C11" s="10"/>
      <c r="D11" s="10"/>
      <c r="E11" s="10"/>
      <c r="F11" s="10"/>
      <c r="G11" s="10"/>
      <c r="H11" s="10"/>
      <c r="I11" s="10"/>
      <c r="J11" s="10"/>
      <c r="K11" s="10"/>
      <c r="L11" s="10"/>
      <c r="M11" s="10"/>
      <c r="N11" s="10"/>
    </row>
    <row r="12" spans="1:16" x14ac:dyDescent="0.3">
      <c r="A12" s="10"/>
      <c r="B12" s="10"/>
      <c r="C12" s="10"/>
      <c r="D12" s="10"/>
      <c r="E12" s="10"/>
      <c r="F12" s="10"/>
      <c r="G12" s="10"/>
      <c r="H12" s="10"/>
      <c r="I12" s="10"/>
      <c r="J12" s="10"/>
      <c r="K12" s="10"/>
      <c r="L12" s="10"/>
      <c r="M12" s="10"/>
      <c r="N12" s="10"/>
    </row>
    <row r="13" spans="1:16" x14ac:dyDescent="0.3">
      <c r="A13" s="10"/>
      <c r="B13" s="10"/>
      <c r="C13" s="10"/>
      <c r="D13" s="10"/>
      <c r="E13" s="10"/>
      <c r="F13" s="10"/>
      <c r="G13" s="10"/>
      <c r="H13" s="10"/>
      <c r="I13" s="10"/>
      <c r="J13" s="10"/>
      <c r="K13" s="10"/>
      <c r="L13" s="10"/>
      <c r="M13" s="10"/>
      <c r="N13" s="10"/>
    </row>
    <row r="14" spans="1:16" x14ac:dyDescent="0.3">
      <c r="A14" s="10"/>
      <c r="B14" s="10"/>
      <c r="C14" s="10"/>
      <c r="D14" s="10"/>
      <c r="E14" s="10"/>
      <c r="F14" s="10"/>
      <c r="G14" s="10"/>
      <c r="H14" s="10"/>
      <c r="I14" s="10"/>
      <c r="J14" s="10"/>
      <c r="K14" s="10"/>
      <c r="L14" s="10"/>
      <c r="M14" s="10"/>
      <c r="N14" s="10"/>
      <c r="P14" s="9"/>
    </row>
    <row r="15" spans="1:16" x14ac:dyDescent="0.3">
      <c r="A15" s="10"/>
      <c r="B15" s="10"/>
      <c r="C15" s="10"/>
      <c r="D15" s="10"/>
      <c r="E15" s="10"/>
      <c r="F15" s="10"/>
      <c r="G15" s="10"/>
      <c r="H15" s="10"/>
      <c r="I15" s="10"/>
      <c r="J15" s="10"/>
      <c r="K15" s="10"/>
      <c r="L15" s="10"/>
      <c r="M15" s="10"/>
      <c r="N15" s="10"/>
    </row>
    <row r="16" spans="1:16" x14ac:dyDescent="0.3">
      <c r="A16" s="10"/>
      <c r="B16" s="10"/>
      <c r="C16" s="10"/>
      <c r="D16" s="10"/>
      <c r="E16" s="10"/>
      <c r="F16" s="10"/>
      <c r="G16" s="10"/>
      <c r="H16" s="10"/>
      <c r="I16" s="10"/>
      <c r="J16" s="10"/>
      <c r="K16" s="10"/>
      <c r="L16" s="10"/>
      <c r="M16" s="10"/>
      <c r="N16" s="10"/>
    </row>
    <row r="17" spans="1:14" x14ac:dyDescent="0.3">
      <c r="A17" s="10"/>
      <c r="B17" s="10"/>
      <c r="C17" s="10"/>
      <c r="D17" s="10"/>
      <c r="E17" s="10"/>
      <c r="F17" s="10"/>
      <c r="G17" s="10"/>
      <c r="H17" s="10"/>
      <c r="I17" s="10"/>
      <c r="J17" s="10"/>
      <c r="K17" s="10"/>
      <c r="L17" s="10"/>
      <c r="M17" s="10"/>
      <c r="N17" s="10"/>
    </row>
    <row r="18" spans="1:14" x14ac:dyDescent="0.3">
      <c r="A18" s="10"/>
      <c r="B18" s="10"/>
      <c r="C18" s="10"/>
      <c r="D18" s="10"/>
      <c r="E18" s="10"/>
      <c r="F18" s="10"/>
      <c r="G18" s="10"/>
      <c r="H18" s="10"/>
      <c r="I18" s="10"/>
      <c r="J18" s="10"/>
      <c r="K18" s="10"/>
      <c r="L18" s="10"/>
      <c r="M18" s="10"/>
      <c r="N18" s="10"/>
    </row>
    <row r="19" spans="1:14" x14ac:dyDescent="0.3">
      <c r="A19" s="10"/>
      <c r="B19" s="10"/>
      <c r="C19" s="10"/>
      <c r="D19" s="10"/>
      <c r="E19" s="10"/>
      <c r="F19" s="10"/>
      <c r="G19" s="10"/>
      <c r="H19" s="10"/>
      <c r="I19" s="10"/>
      <c r="J19" s="10"/>
      <c r="K19" s="10"/>
      <c r="L19" s="10"/>
      <c r="M19" s="10"/>
      <c r="N19" s="10"/>
    </row>
    <row r="20" spans="1:14" ht="9.6" customHeight="1" x14ac:dyDescent="0.3">
      <c r="A20" s="10"/>
      <c r="B20" s="10"/>
      <c r="C20" s="10"/>
      <c r="D20" s="10"/>
      <c r="E20" s="10"/>
      <c r="F20" s="10"/>
      <c r="G20" s="10"/>
      <c r="H20" s="10"/>
      <c r="I20" s="10"/>
      <c r="J20" s="10"/>
      <c r="K20" s="10"/>
      <c r="L20" s="10"/>
      <c r="M20" s="10"/>
      <c r="N20" s="10"/>
    </row>
    <row r="21" spans="1:14" ht="14.4"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madhwendra morya</dc:creator>
  <cp:lastModifiedBy>madhwendra morya</cp:lastModifiedBy>
  <dcterms:created xsi:type="dcterms:W3CDTF">2025-08-18T04:51:14Z</dcterms:created>
  <dcterms:modified xsi:type="dcterms:W3CDTF">2026-05-31T14:46:20Z</dcterms:modified>
</cp:coreProperties>
</file>